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ml.chartshapes+xml"/>
  <Override PartName="/xl/pivotTables/pivotTable3.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waya\OneDrive\Desktop\"/>
    </mc:Choice>
  </mc:AlternateContent>
  <xr:revisionPtr revIDLastSave="0" documentId="13_ncr:1_{FCCDEA0E-2593-46B3-BF21-14A1D847592C}" xr6:coauthVersionLast="47" xr6:coauthVersionMax="47" xr10:uidLastSave="{00000000-0000-0000-0000-000000000000}"/>
  <bookViews>
    <workbookView xWindow="-108" yWindow="-108" windowWidth="23256" windowHeight="12456" firstSheet="2" activeTab="2" xr2:uid="{88A51712-293A-4210-BCB0-636DBB1BDF8C}"/>
  </bookViews>
  <sheets>
    <sheet name="sales by categories" sheetId="7" r:id="rId1"/>
    <sheet name="profit gained" sheetId="8" r:id="rId2"/>
    <sheet name="DashBoard" sheetId="12" r:id="rId3"/>
    <sheet name="monthly sales" sheetId="9" r:id="rId4"/>
    <sheet name="top customers" sheetId="10" r:id="rId5"/>
    <sheet name="retail_sales_dataset" sheetId="1" r:id="rId6"/>
  </sheets>
  <definedNames>
    <definedName name="_xlchart.v2.0" hidden="1">'sales by categories'!$D$4:$D$6</definedName>
    <definedName name="_xlchart.v2.1" hidden="1">'sales by categories'!$E$4:$E$6</definedName>
    <definedName name="Slicer_Product_Category">#N/A</definedName>
    <definedName name="Slicer_YEAR">#N/A</definedName>
  </definedNames>
  <calcPr calcId="191028"/>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07" i="1" l="1"/>
  <c r="C1002" i="1"/>
  <c r="C1003" i="1"/>
  <c r="C1011" i="1"/>
  <c r="C1012" i="1"/>
  <c r="C1009" i="1"/>
  <c r="C1015" i="1"/>
  <c r="C1016" i="1"/>
  <c r="C1005" i="1"/>
  <c r="C1006" i="1"/>
  <c r="C1013" i="1"/>
  <c r="D1007" i="1"/>
  <c r="D1002" i="1"/>
  <c r="D1003" i="1"/>
  <c r="D1011" i="1"/>
  <c r="D1012" i="1"/>
  <c r="D1009" i="1"/>
  <c r="D1015" i="1"/>
  <c r="D1016" i="1"/>
  <c r="D1005" i="1"/>
  <c r="D1006" i="1"/>
  <c r="D1013" i="1"/>
  <c r="C1004" i="1"/>
  <c r="C1008" i="1"/>
  <c r="C1010" i="1"/>
  <c r="C1014" i="1"/>
  <c r="D1004" i="1"/>
  <c r="D1008" i="1"/>
  <c r="D1010" i="1"/>
  <c r="D101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alcChain>
</file>

<file path=xl/sharedStrings.xml><?xml version="1.0" encoding="utf-8"?>
<sst xmlns="http://schemas.openxmlformats.org/spreadsheetml/2006/main" count="4090" uniqueCount="1024">
  <si>
    <t>Row Labels</t>
  </si>
  <si>
    <t>Sum of Total Amount</t>
  </si>
  <si>
    <t>Beauty</t>
  </si>
  <si>
    <t>Clothing</t>
  </si>
  <si>
    <t>Electronics</t>
  </si>
  <si>
    <t>Grand Total</t>
  </si>
  <si>
    <t>Column Labels</t>
  </si>
  <si>
    <t>Sum of Price per Unit</t>
  </si>
  <si>
    <t>Total Sum of Total Amount</t>
  </si>
  <si>
    <t>Total Sum of Price per Unit</t>
  </si>
  <si>
    <t>Sum of Quantity</t>
  </si>
  <si>
    <t>CUST664</t>
  </si>
  <si>
    <t>CUST690</t>
  </si>
  <si>
    <t>CUST656</t>
  </si>
  <si>
    <t>CUST660</t>
  </si>
  <si>
    <t>CUST662</t>
  </si>
  <si>
    <t>CUST661</t>
  </si>
  <si>
    <t>CUST655</t>
  </si>
  <si>
    <t>CUST653</t>
  </si>
  <si>
    <t>CUST652</t>
  </si>
  <si>
    <t>CUST663</t>
  </si>
  <si>
    <t>CUST658</t>
  </si>
  <si>
    <t>CUST654</t>
  </si>
  <si>
    <t>CUST657</t>
  </si>
  <si>
    <t>CUST943</t>
  </si>
  <si>
    <t>CUST669</t>
  </si>
  <si>
    <t>CUST828</t>
  </si>
  <si>
    <t>CUST682</t>
  </si>
  <si>
    <t>CUST917</t>
  </si>
  <si>
    <t>CUST686</t>
  </si>
  <si>
    <t>CUST975</t>
  </si>
  <si>
    <t>CUST688</t>
  </si>
  <si>
    <t>CUST839</t>
  </si>
  <si>
    <t>CUST860</t>
  </si>
  <si>
    <t>CUST875</t>
  </si>
  <si>
    <t>CUST888</t>
  </si>
  <si>
    <t>CUST696</t>
  </si>
  <si>
    <t>CUST931</t>
  </si>
  <si>
    <t>CUST699</t>
  </si>
  <si>
    <t>CUST965</t>
  </si>
  <si>
    <t>CUST700</t>
  </si>
  <si>
    <t>CUST820</t>
  </si>
  <si>
    <t>CUST706</t>
  </si>
  <si>
    <t>CUST832</t>
  </si>
  <si>
    <t>CUST715</t>
  </si>
  <si>
    <t>CUST847</t>
  </si>
  <si>
    <t>CUST716</t>
  </si>
  <si>
    <t>CUST870</t>
  </si>
  <si>
    <t>CUST723</t>
  </si>
  <si>
    <t>CUST885</t>
  </si>
  <si>
    <t>CUST726</t>
  </si>
  <si>
    <t>CUST903</t>
  </si>
  <si>
    <t>CUST729</t>
  </si>
  <si>
    <t>CUST928</t>
  </si>
  <si>
    <t>CUST731</t>
  </si>
  <si>
    <t>CUST936</t>
  </si>
  <si>
    <t>CUST735</t>
  </si>
  <si>
    <t>CUST957</t>
  </si>
  <si>
    <t>CUST736</t>
  </si>
  <si>
    <t>CUST971</t>
  </si>
  <si>
    <t>CUST740</t>
  </si>
  <si>
    <t>CUST817</t>
  </si>
  <si>
    <t>CUST742</t>
  </si>
  <si>
    <t>CUST824</t>
  </si>
  <si>
    <t>CUST743</t>
  </si>
  <si>
    <t>CUST831</t>
  </si>
  <si>
    <t>CUST754</t>
  </si>
  <si>
    <t>CUST835</t>
  </si>
  <si>
    <t>CUST756</t>
  </si>
  <si>
    <t>CUST841</t>
  </si>
  <si>
    <t>CUST757</t>
  </si>
  <si>
    <t>CUST856</t>
  </si>
  <si>
    <t>CUST758</t>
  </si>
  <si>
    <t>CUST862</t>
  </si>
  <si>
    <t>CUST765</t>
  </si>
  <si>
    <t>CUST873</t>
  </si>
  <si>
    <t>CUST769</t>
  </si>
  <si>
    <t>CUST876</t>
  </si>
  <si>
    <t>CUST773</t>
  </si>
  <si>
    <t>CUST887</t>
  </si>
  <si>
    <t>CUST775</t>
  </si>
  <si>
    <t>CUST895</t>
  </si>
  <si>
    <t>CUST778</t>
  </si>
  <si>
    <t>CUST908</t>
  </si>
  <si>
    <t>CUST785</t>
  </si>
  <si>
    <t>CUST927</t>
  </si>
  <si>
    <t>CUST786</t>
  </si>
  <si>
    <t>CUST930</t>
  </si>
  <si>
    <t>CUST789</t>
  </si>
  <si>
    <t>CUST932</t>
  </si>
  <si>
    <t>CUST796</t>
  </si>
  <si>
    <t>CUST938</t>
  </si>
  <si>
    <t>CUST800</t>
  </si>
  <si>
    <t>CUST946</t>
  </si>
  <si>
    <t>CUST801</t>
  </si>
  <si>
    <t>CUST961</t>
  </si>
  <si>
    <t>CUST803</t>
  </si>
  <si>
    <t>CUST970</t>
  </si>
  <si>
    <t>CUST807</t>
  </si>
  <si>
    <t>CUST972</t>
  </si>
  <si>
    <t>CUST808</t>
  </si>
  <si>
    <t>CUST998</t>
  </si>
  <si>
    <t>CUST810</t>
  </si>
  <si>
    <t>CUST833</t>
  </si>
  <si>
    <t>CUST598</t>
  </si>
  <si>
    <t>CUST546</t>
  </si>
  <si>
    <t>CUST341</t>
  </si>
  <si>
    <t>CUST406</t>
  </si>
  <si>
    <t>CUST578</t>
  </si>
  <si>
    <t>CUST411</t>
  </si>
  <si>
    <t>CUST633</t>
  </si>
  <si>
    <t>CUST412</t>
  </si>
  <si>
    <t>CUST524</t>
  </si>
  <si>
    <t>CUST414</t>
  </si>
  <si>
    <t>CUST561</t>
  </si>
  <si>
    <t>CUST416</t>
  </si>
  <si>
    <t>CUST591</t>
  </si>
  <si>
    <t>CUST420</t>
  </si>
  <si>
    <t>CUST619</t>
  </si>
  <si>
    <t>CUST424</t>
  </si>
  <si>
    <t>CUST642</t>
  </si>
  <si>
    <t>CUST425</t>
  </si>
  <si>
    <t>CUST360</t>
  </si>
  <si>
    <t>CUST428</t>
  </si>
  <si>
    <t>CUST532</t>
  </si>
  <si>
    <t>CUST431</t>
  </si>
  <si>
    <t>CUST553</t>
  </si>
  <si>
    <t>CUST433</t>
  </si>
  <si>
    <t>CUST572</t>
  </si>
  <si>
    <t>CUST436</t>
  </si>
  <si>
    <t>CUST584</t>
  </si>
  <si>
    <t>CUST437</t>
  </si>
  <si>
    <t>CUST595</t>
  </si>
  <si>
    <t>CUST441</t>
  </si>
  <si>
    <t>CUST614</t>
  </si>
  <si>
    <t>CUST442</t>
  </si>
  <si>
    <t>CUST628</t>
  </si>
  <si>
    <t>CUST447</t>
  </si>
  <si>
    <t>CUST639</t>
  </si>
  <si>
    <t>CUST449</t>
  </si>
  <si>
    <t>CUST648</t>
  </si>
  <si>
    <t>CUST455</t>
  </si>
  <si>
    <t>CUST342</t>
  </si>
  <si>
    <t>CUST458</t>
  </si>
  <si>
    <t>CUST368</t>
  </si>
  <si>
    <t>CUST459</t>
  </si>
  <si>
    <t>CUST530</t>
  </si>
  <si>
    <t>CUST462</t>
  </si>
  <si>
    <t>CUST536</t>
  </si>
  <si>
    <t>CUST466</t>
  </si>
  <si>
    <t>CUST547</t>
  </si>
  <si>
    <t>CUST476</t>
  </si>
  <si>
    <t>CUST559</t>
  </si>
  <si>
    <t>CUST477</t>
  </si>
  <si>
    <t>CUST569</t>
  </si>
  <si>
    <t>CUST479</t>
  </si>
  <si>
    <t>CUST577</t>
  </si>
  <si>
    <t>CUST480</t>
  </si>
  <si>
    <t>CUST583</t>
  </si>
  <si>
    <t>CUST481</t>
  </si>
  <si>
    <t>CUST587</t>
  </si>
  <si>
    <t>CUST482</t>
  </si>
  <si>
    <t>CUST592</t>
  </si>
  <si>
    <t>CUST484</t>
  </si>
  <si>
    <t>CUST597</t>
  </si>
  <si>
    <t>CUST487</t>
  </si>
  <si>
    <t>CUST604</t>
  </si>
  <si>
    <t>CUST492</t>
  </si>
  <si>
    <t>CUST615</t>
  </si>
  <si>
    <t>CUST494</t>
  </si>
  <si>
    <t>CUST626</t>
  </si>
  <si>
    <t>CUST497</t>
  </si>
  <si>
    <t>CUST632</t>
  </si>
  <si>
    <t>CUST498</t>
  </si>
  <si>
    <t>CUST634</t>
  </si>
  <si>
    <t>CUST503</t>
  </si>
  <si>
    <t>CUST640</t>
  </si>
  <si>
    <t>CUST510</t>
  </si>
  <si>
    <t>CUST645</t>
  </si>
  <si>
    <t>CUST513</t>
  </si>
  <si>
    <t>CUST340</t>
  </si>
  <si>
    <t>CUST335</t>
  </si>
  <si>
    <t>CUST400</t>
  </si>
  <si>
    <t>CUST354</t>
  </si>
  <si>
    <t>CUST405</t>
  </si>
  <si>
    <t>CUST381</t>
  </si>
  <si>
    <t>CUST517</t>
  </si>
  <si>
    <t>CUST659</t>
  </si>
  <si>
    <t>CUST519</t>
  </si>
  <si>
    <t>CUST361</t>
  </si>
  <si>
    <t>CUST520</t>
  </si>
  <si>
    <t>CUST377</t>
  </si>
  <si>
    <t>CUST521</t>
  </si>
  <si>
    <t>CUST516</t>
  </si>
  <si>
    <t>CUST500</t>
  </si>
  <si>
    <t>CUST257</t>
  </si>
  <si>
    <t>CUST175</t>
  </si>
  <si>
    <t>CUST300</t>
  </si>
  <si>
    <t>CUST008</t>
  </si>
  <si>
    <t>CUST208</t>
  </si>
  <si>
    <t>CUST010</t>
  </si>
  <si>
    <t>CUST281</t>
  </si>
  <si>
    <t>CUST014</t>
  </si>
  <si>
    <t>CUST330</t>
  </si>
  <si>
    <t>CUST015</t>
  </si>
  <si>
    <t>CUST186</t>
  </si>
  <si>
    <t>CUST017</t>
  </si>
  <si>
    <t>CUST222</t>
  </si>
  <si>
    <t>CUST023</t>
  </si>
  <si>
    <t>CUST271</t>
  </si>
  <si>
    <t>CUST031</t>
  </si>
  <si>
    <t>CUST288</t>
  </si>
  <si>
    <t>CUST038</t>
  </si>
  <si>
    <t>CUST312</t>
  </si>
  <si>
    <t>CUST039</t>
  </si>
  <si>
    <t>CUST165</t>
  </si>
  <si>
    <t>CUST046</t>
  </si>
  <si>
    <t>CUST182</t>
  </si>
  <si>
    <t>CUST055</t>
  </si>
  <si>
    <t>CUST197</t>
  </si>
  <si>
    <t>CUST058</t>
  </si>
  <si>
    <t>CUST210</t>
  </si>
  <si>
    <t>CUST061</t>
  </si>
  <si>
    <t>CUST251</t>
  </si>
  <si>
    <t>CUST064</t>
  </si>
  <si>
    <t>CUST262</t>
  </si>
  <si>
    <t>CUST065</t>
  </si>
  <si>
    <t>CUST277</t>
  </si>
  <si>
    <t>CUST067</t>
  </si>
  <si>
    <t>CUST284</t>
  </si>
  <si>
    <t>CUST071</t>
  </si>
  <si>
    <t>CUST296</t>
  </si>
  <si>
    <t>CUST072</t>
  </si>
  <si>
    <t>CUST308</t>
  </si>
  <si>
    <t>CUST074</t>
  </si>
  <si>
    <t>CUST320</t>
  </si>
  <si>
    <t>CUST075</t>
  </si>
  <si>
    <t>CUST333</t>
  </si>
  <si>
    <t>CUST082</t>
  </si>
  <si>
    <t>CUST173</t>
  </si>
  <si>
    <t>CUST089</t>
  </si>
  <si>
    <t>CUST181</t>
  </si>
  <si>
    <t>CUST092</t>
  </si>
  <si>
    <t>CUST184</t>
  </si>
  <si>
    <t>CUST093</t>
  </si>
  <si>
    <t>CUST194</t>
  </si>
  <si>
    <t>CUST099</t>
  </si>
  <si>
    <t>CUST202</t>
  </si>
  <si>
    <t>CUST1000</t>
  </si>
  <si>
    <t>CUST209</t>
  </si>
  <si>
    <t>CUST107</t>
  </si>
  <si>
    <t>CUST217</t>
  </si>
  <si>
    <t>CUST109</t>
  </si>
  <si>
    <t>CUST225</t>
  </si>
  <si>
    <t>CUST114</t>
  </si>
  <si>
    <t>CUST253</t>
  </si>
  <si>
    <t>CUST118</t>
  </si>
  <si>
    <t>CUST259</t>
  </si>
  <si>
    <t>CUST121</t>
  </si>
  <si>
    <t>CUST269</t>
  </si>
  <si>
    <t>CUST122</t>
  </si>
  <si>
    <t>CUST276</t>
  </si>
  <si>
    <t>CUST124</t>
  </si>
  <si>
    <t>CUST278</t>
  </si>
  <si>
    <t>CUST132</t>
  </si>
  <si>
    <t>CUST282</t>
  </si>
  <si>
    <t>CUST138</t>
  </si>
  <si>
    <t>CUST287</t>
  </si>
  <si>
    <t>CUST139</t>
  </si>
  <si>
    <t>CUST292</t>
  </si>
  <si>
    <t>CUST142</t>
  </si>
  <si>
    <t>CUST298</t>
  </si>
  <si>
    <t>CUST146</t>
  </si>
  <si>
    <t>CUST301</t>
  </si>
  <si>
    <t>CUST150</t>
  </si>
  <si>
    <t>CUST311</t>
  </si>
  <si>
    <t>CUST152</t>
  </si>
  <si>
    <t>CUST314</t>
  </si>
  <si>
    <t>CUST155</t>
  </si>
  <si>
    <t>CUST329</t>
  </si>
  <si>
    <t>CUST156</t>
  </si>
  <si>
    <t>CUST332</t>
  </si>
  <si>
    <t>CUST157</t>
  </si>
  <si>
    <t>CUST159</t>
  </si>
  <si>
    <t>CUST166</t>
  </si>
  <si>
    <t>CUST671</t>
  </si>
  <si>
    <t>CUST886</t>
  </si>
  <si>
    <t>CUST993</t>
  </si>
  <si>
    <t>CUST750</t>
  </si>
  <si>
    <t>CUST913</t>
  </si>
  <si>
    <t>CUST755</t>
  </si>
  <si>
    <t>CUST969</t>
  </si>
  <si>
    <t>CUST673</t>
  </si>
  <si>
    <t>CUST872</t>
  </si>
  <si>
    <t>CUST691</t>
  </si>
  <si>
    <t>CUST898</t>
  </si>
  <si>
    <t>CUST693</t>
  </si>
  <si>
    <t>CUST921</t>
  </si>
  <si>
    <t>CUST766</t>
  </si>
  <si>
    <t>CUST954</t>
  </si>
  <si>
    <t>CUST767</t>
  </si>
  <si>
    <t>CUST980</t>
  </si>
  <si>
    <t>CUST768</t>
  </si>
  <si>
    <t>CUST720</t>
  </si>
  <si>
    <t>CUST695</t>
  </si>
  <si>
    <t>CUST680</t>
  </si>
  <si>
    <t>CUST776</t>
  </si>
  <si>
    <t>CUST891</t>
  </si>
  <si>
    <t>CUST777</t>
  </si>
  <si>
    <t>CUST911</t>
  </si>
  <si>
    <t>CUST782</t>
  </si>
  <si>
    <t>CUST918</t>
  </si>
  <si>
    <t>CUST788</t>
  </si>
  <si>
    <t>CUST929</t>
  </si>
  <si>
    <t>CUST676</t>
  </si>
  <si>
    <t>CUST950</t>
  </si>
  <si>
    <t>CUST797</t>
  </si>
  <si>
    <t>CUST964</t>
  </si>
  <si>
    <t>CUST704</t>
  </si>
  <si>
    <t>CUST977</t>
  </si>
  <si>
    <t>CUST805</t>
  </si>
  <si>
    <t>CUST987</t>
  </si>
  <si>
    <t>CUST806</t>
  </si>
  <si>
    <t>CUST748</t>
  </si>
  <si>
    <t>CUST677</t>
  </si>
  <si>
    <t>CUST869</t>
  </si>
  <si>
    <t>CUST812</t>
  </si>
  <si>
    <t>CUST999</t>
  </si>
  <si>
    <t>CUST813</t>
  </si>
  <si>
    <t>CUST724</t>
  </si>
  <si>
    <t>CUST815</t>
  </si>
  <si>
    <t>CUST727</t>
  </si>
  <si>
    <t>CUST708</t>
  </si>
  <si>
    <t>CUST728</t>
  </si>
  <si>
    <t>CUST822</t>
  </si>
  <si>
    <t>CUST910</t>
  </si>
  <si>
    <t>CUST710</t>
  </si>
  <si>
    <t>CUST912</t>
  </si>
  <si>
    <t>CUST827</t>
  </si>
  <si>
    <t>CUST915</t>
  </si>
  <si>
    <t>CUST711</t>
  </si>
  <si>
    <t>CUST920</t>
  </si>
  <si>
    <t>CUST829</t>
  </si>
  <si>
    <t>CUST923</t>
  </si>
  <si>
    <t>CUST830</t>
  </si>
  <si>
    <t>CUST942</t>
  </si>
  <si>
    <t>CUST713</t>
  </si>
  <si>
    <t>CUST948</t>
  </si>
  <si>
    <t>CUST668</t>
  </si>
  <si>
    <t>CUST953</t>
  </si>
  <si>
    <t>CUST837</t>
  </si>
  <si>
    <t>CUST956</t>
  </si>
  <si>
    <t>CUST678</t>
  </si>
  <si>
    <t>CUST968</t>
  </si>
  <si>
    <t>CUST679</t>
  </si>
  <si>
    <t>CUST746</t>
  </si>
  <si>
    <t>CUST843</t>
  </si>
  <si>
    <t>CUST978</t>
  </si>
  <si>
    <t>CUST844</t>
  </si>
  <si>
    <t>CUST982</t>
  </si>
  <si>
    <t>CUST848</t>
  </si>
  <si>
    <t>CUST988</t>
  </si>
  <si>
    <t>CUST718</t>
  </si>
  <si>
    <t>CUST997</t>
  </si>
  <si>
    <t>CUST859</t>
  </si>
  <si>
    <t>CUST861</t>
  </si>
  <si>
    <t>CUST722</t>
  </si>
  <si>
    <t>CUST421</t>
  </si>
  <si>
    <t>CUST607</t>
  </si>
  <si>
    <t>CUST567</t>
  </si>
  <si>
    <t>CUST439</t>
  </si>
  <si>
    <t>CUST624</t>
  </si>
  <si>
    <t>CUST336</t>
  </si>
  <si>
    <t>CUST430</t>
  </si>
  <si>
    <t>CUST444</t>
  </si>
  <si>
    <t>CUST590</t>
  </si>
  <si>
    <t>CUST452</t>
  </si>
  <si>
    <t>CUST413</t>
  </si>
  <si>
    <t>CUST457</t>
  </si>
  <si>
    <t>CUST417</t>
  </si>
  <si>
    <t>CUST463</t>
  </si>
  <si>
    <t>CUST646</t>
  </si>
  <si>
    <t>CUST465</t>
  </si>
  <si>
    <t>CUST665</t>
  </si>
  <si>
    <t>CUST467</t>
  </si>
  <si>
    <t>CUST580</t>
  </si>
  <si>
    <t>CUST469</t>
  </si>
  <si>
    <t>CUST409</t>
  </si>
  <si>
    <t>CUST471</t>
  </si>
  <si>
    <t>CUST611</t>
  </si>
  <si>
    <t>CUST472</t>
  </si>
  <si>
    <t>CUST622</t>
  </si>
  <si>
    <t>CUST474</t>
  </si>
  <si>
    <t>CUST631</t>
  </si>
  <si>
    <t>CUST475</t>
  </si>
  <si>
    <t>CUST636</t>
  </si>
  <si>
    <t>CUST369</t>
  </si>
  <si>
    <t>CUST644</t>
  </si>
  <si>
    <t>CUST372</t>
  </si>
  <si>
    <t>CUST651</t>
  </si>
  <si>
    <t>CUST374</t>
  </si>
  <si>
    <t>CUST357</t>
  </si>
  <si>
    <t>CUST488</t>
  </si>
  <si>
    <t>CUST557</t>
  </si>
  <si>
    <t>CUST490</t>
  </si>
  <si>
    <t>CUST576</t>
  </si>
  <si>
    <t>CUST491</t>
  </si>
  <si>
    <t>CUST582</t>
  </si>
  <si>
    <t>CUST334</t>
  </si>
  <si>
    <t>CUST407</t>
  </si>
  <si>
    <t>CUST502</t>
  </si>
  <si>
    <t>CUST603</t>
  </si>
  <si>
    <t>CUST504</t>
  </si>
  <si>
    <t>CUST608</t>
  </si>
  <si>
    <t>CUST506</t>
  </si>
  <si>
    <t>CUST613</t>
  </si>
  <si>
    <t>CUST507</t>
  </si>
  <si>
    <t>CUST620</t>
  </si>
  <si>
    <t>CUST509</t>
  </si>
  <si>
    <t>CUST623</t>
  </si>
  <si>
    <t>CUST383</t>
  </si>
  <si>
    <t>CUST350</t>
  </si>
  <si>
    <t>CUST515</t>
  </si>
  <si>
    <t>CUST351</t>
  </si>
  <si>
    <t>CUST385</t>
  </si>
  <si>
    <t>CUST635</t>
  </si>
  <si>
    <t>CUST522</t>
  </si>
  <si>
    <t>CUST419</t>
  </si>
  <si>
    <t>CUST529</t>
  </si>
  <si>
    <t>CUST643</t>
  </si>
  <si>
    <t>CUST533</t>
  </si>
  <si>
    <t>CUST422</t>
  </si>
  <si>
    <t>CUST535</t>
  </si>
  <si>
    <t>CUST647</t>
  </si>
  <si>
    <t>CUST538</t>
  </si>
  <si>
    <t>CUST426</t>
  </si>
  <si>
    <t>CUST540</t>
  </si>
  <si>
    <t>CUST356</t>
  </si>
  <si>
    <t>CUST550</t>
  </si>
  <si>
    <t>CUST435</t>
  </si>
  <si>
    <t>CUST551</t>
  </si>
  <si>
    <t>CUST666</t>
  </si>
  <si>
    <t>CUST554</t>
  </si>
  <si>
    <t>CUST552</t>
  </si>
  <si>
    <t>CUST020</t>
  </si>
  <si>
    <t>CUST219</t>
  </si>
  <si>
    <t>CUST200</t>
  </si>
  <si>
    <t>CUST108</t>
  </si>
  <si>
    <t>CUST248</t>
  </si>
  <si>
    <t>CUST110</t>
  </si>
  <si>
    <t>CUST085</t>
  </si>
  <si>
    <t>CUST111</t>
  </si>
  <si>
    <t>CUST212</t>
  </si>
  <si>
    <t>CUST112</t>
  </si>
  <si>
    <t>CUST239</t>
  </si>
  <si>
    <t>CUST030</t>
  </si>
  <si>
    <t>CUST267</t>
  </si>
  <si>
    <t>CUST115</t>
  </si>
  <si>
    <t>CUST078</t>
  </si>
  <si>
    <t>CUST119</t>
  </si>
  <si>
    <t>CUST324</t>
  </si>
  <si>
    <t>CUST032</t>
  </si>
  <si>
    <t>CUST056</t>
  </si>
  <si>
    <t>CUST034</t>
  </si>
  <si>
    <t>CUST215</t>
  </si>
  <si>
    <t>CUST126</t>
  </si>
  <si>
    <t>CUST229</t>
  </si>
  <si>
    <t>CUST035</t>
  </si>
  <si>
    <t>CUST243</t>
  </si>
  <si>
    <t>CUST133</t>
  </si>
  <si>
    <t>CUST264</t>
  </si>
  <si>
    <t>CUST036</t>
  </si>
  <si>
    <t>CUST280</t>
  </si>
  <si>
    <t>CUST037</t>
  </si>
  <si>
    <t>CUST294</t>
  </si>
  <si>
    <t>CUST144</t>
  </si>
  <si>
    <t>CUST084</t>
  </si>
  <si>
    <t>CUST145</t>
  </si>
  <si>
    <t>CUST086</t>
  </si>
  <si>
    <t>CUST149</t>
  </si>
  <si>
    <t>CUST327</t>
  </si>
  <si>
    <t>CUST154</t>
  </si>
  <si>
    <t>CUST012</t>
  </si>
  <si>
    <t>CUST042</t>
  </si>
  <si>
    <t>CUST013</t>
  </si>
  <si>
    <t>CUST163</t>
  </si>
  <si>
    <t>CUST213</t>
  </si>
  <si>
    <t>CUST164</t>
  </si>
  <si>
    <t>CUST218</t>
  </si>
  <si>
    <t>CUST001</t>
  </si>
  <si>
    <t>CUST060</t>
  </si>
  <si>
    <t>CUST167</t>
  </si>
  <si>
    <t>CUST231</t>
  </si>
  <si>
    <t>CUST169</t>
  </si>
  <si>
    <t>CUST241</t>
  </si>
  <si>
    <t>CUST171</t>
  </si>
  <si>
    <t>CUST245</t>
  </si>
  <si>
    <t>CUST047</t>
  </si>
  <si>
    <t>CUST016</t>
  </si>
  <si>
    <t>CUST048</t>
  </si>
  <si>
    <t>CUST265</t>
  </si>
  <si>
    <t>CUST180</t>
  </si>
  <si>
    <t>CUST069</t>
  </si>
  <si>
    <t>CUST050</t>
  </si>
  <si>
    <t>CUST073</t>
  </si>
  <si>
    <t>CUST183</t>
  </si>
  <si>
    <t>CUST293</t>
  </si>
  <si>
    <t>CUST051</t>
  </si>
  <si>
    <t>CUST295</t>
  </si>
  <si>
    <t>CUST188</t>
  </si>
  <si>
    <t>CUST303</t>
  </si>
  <si>
    <t>CUST190</t>
  </si>
  <si>
    <t>CUST313</t>
  </si>
  <si>
    <t>CUST193</t>
  </si>
  <si>
    <t>CUST317</t>
  </si>
  <si>
    <t>CUST196</t>
  </si>
  <si>
    <t>CUST323</t>
  </si>
  <si>
    <t>CUST054</t>
  </si>
  <si>
    <t>CUST326</t>
  </si>
  <si>
    <t>CUST198</t>
  </si>
  <si>
    <t>CUST331</t>
  </si>
  <si>
    <t>CUST199</t>
  </si>
  <si>
    <t>CUST211</t>
  </si>
  <si>
    <t>CUST692</t>
  </si>
  <si>
    <t>CUST944</t>
  </si>
  <si>
    <t>CUST809</t>
  </si>
  <si>
    <t>CUST779</t>
  </si>
  <si>
    <t>CUST960</t>
  </si>
  <si>
    <t>CUST780</t>
  </si>
  <si>
    <t>CUST992</t>
  </si>
  <si>
    <t>CUST834</t>
  </si>
  <si>
    <t>CUST685</t>
  </si>
  <si>
    <t>CUST838</t>
  </si>
  <si>
    <t>CUST771</t>
  </si>
  <si>
    <t>CUST840</t>
  </si>
  <si>
    <t>CUST819</t>
  </si>
  <si>
    <t>CUST842</t>
  </si>
  <si>
    <t>CUST985</t>
  </si>
  <si>
    <t>CUST675</t>
  </si>
  <si>
    <t>CUST919</t>
  </si>
  <si>
    <t>CUST849</t>
  </si>
  <si>
    <t>CUST732</t>
  </si>
  <si>
    <t>CUST850</t>
  </si>
  <si>
    <t>CUST941</t>
  </si>
  <si>
    <t>CUST851</t>
  </si>
  <si>
    <t>CUST949</t>
  </si>
  <si>
    <t>CUST853</t>
  </si>
  <si>
    <t>CUST958</t>
  </si>
  <si>
    <t>CUST857</t>
  </si>
  <si>
    <t>CUST672</t>
  </si>
  <si>
    <t>CUST858</t>
  </si>
  <si>
    <t>CUST745</t>
  </si>
  <si>
    <t>CUST762</t>
  </si>
  <si>
    <t>CUST774</t>
  </si>
  <si>
    <t>CUST719</t>
  </si>
  <si>
    <t>CUST990</t>
  </si>
  <si>
    <t>CUST763</t>
  </si>
  <si>
    <t>CUST994</t>
  </si>
  <si>
    <t>CUST863</t>
  </si>
  <si>
    <t>CUST705</t>
  </si>
  <si>
    <t>CUST871</t>
  </si>
  <si>
    <t>CUST924</t>
  </si>
  <si>
    <t>CUST880</t>
  </si>
  <si>
    <t>CUST684</t>
  </si>
  <si>
    <t>CUST882</t>
  </si>
  <si>
    <t>CUST738</t>
  </si>
  <si>
    <t>CUST884</t>
  </si>
  <si>
    <t>CUST811</t>
  </si>
  <si>
    <t>CUST701</t>
  </si>
  <si>
    <t>CUST694</t>
  </si>
  <si>
    <t>CUST681</t>
  </si>
  <si>
    <t>CUST951</t>
  </si>
  <si>
    <t>CUST890</t>
  </si>
  <si>
    <t>CUST816</t>
  </si>
  <si>
    <t>CUST799</t>
  </si>
  <si>
    <t>CUST959</t>
  </si>
  <si>
    <t>CUST896</t>
  </si>
  <si>
    <t>CUST962</t>
  </si>
  <si>
    <t>CUST897</t>
  </si>
  <si>
    <t>CUST966</t>
  </si>
  <si>
    <t>CUST702</t>
  </si>
  <si>
    <t>CUST709</t>
  </si>
  <si>
    <t>CUST899</t>
  </si>
  <si>
    <t>CUST976</t>
  </si>
  <si>
    <t>CUST900</t>
  </si>
  <si>
    <t>CUST823</t>
  </si>
  <si>
    <t>CUST730</t>
  </si>
  <si>
    <t>CUST981</t>
  </si>
  <si>
    <t>CUST703</t>
  </si>
  <si>
    <t>CUST986</t>
  </si>
  <si>
    <t>CUST689</t>
  </si>
  <si>
    <t>CUST991</t>
  </si>
  <si>
    <t>CUST751</t>
  </si>
  <si>
    <t>CUST759</t>
  </si>
  <si>
    <t>CUST683</t>
  </si>
  <si>
    <t>CUST752</t>
  </si>
  <si>
    <t>CUST712</t>
  </si>
  <si>
    <t>CUST380</t>
  </si>
  <si>
    <t>CUST410</t>
  </si>
  <si>
    <t>CUST443</t>
  </si>
  <si>
    <t>CUST464</t>
  </si>
  <si>
    <t>CUST343</t>
  </si>
  <si>
    <t>CUST440</t>
  </si>
  <si>
    <t>CUST461</t>
  </si>
  <si>
    <t>CUST386</t>
  </si>
  <si>
    <t>CUST373</t>
  </si>
  <si>
    <t>CUST338</t>
  </si>
  <si>
    <t>CUST348</t>
  </si>
  <si>
    <t>CUST389</t>
  </si>
  <si>
    <t>CUST630</t>
  </si>
  <si>
    <t>CUST525</t>
  </si>
  <si>
    <t>CUST501</t>
  </si>
  <si>
    <t>CUST526</t>
  </si>
  <si>
    <t>CUST382</t>
  </si>
  <si>
    <t>CUST527</t>
  </si>
  <si>
    <t>CUST593</t>
  </si>
  <si>
    <t>CUST528</t>
  </si>
  <si>
    <t>CUST599</t>
  </si>
  <si>
    <t>CUST390</t>
  </si>
  <si>
    <t>CUST609</t>
  </si>
  <si>
    <t>CUST391</t>
  </si>
  <si>
    <t>CUST621</t>
  </si>
  <si>
    <t>CUST534</t>
  </si>
  <si>
    <t>CUST415</t>
  </si>
  <si>
    <t>CUST392</t>
  </si>
  <si>
    <t>CUST496</t>
  </si>
  <si>
    <t>CUST470</t>
  </si>
  <si>
    <t>CUST499</t>
  </si>
  <si>
    <t>CUST543</t>
  </si>
  <si>
    <t>CUST649</t>
  </si>
  <si>
    <t>CUST545</t>
  </si>
  <si>
    <t>CUST508</t>
  </si>
  <si>
    <t>CUST393</t>
  </si>
  <si>
    <t>CUST511</t>
  </si>
  <si>
    <t>CUST548</t>
  </si>
  <si>
    <t>CUST346</t>
  </si>
  <si>
    <t>CUST549</t>
  </si>
  <si>
    <t>CUST594</t>
  </si>
  <si>
    <t>CUST448</t>
  </si>
  <si>
    <t>CUST453</t>
  </si>
  <si>
    <t>CUST395</t>
  </si>
  <si>
    <t>CUST600</t>
  </si>
  <si>
    <t>CUST450</t>
  </si>
  <si>
    <t>CUST605</t>
  </si>
  <si>
    <t>CUST562</t>
  </si>
  <si>
    <t>CUST610</t>
  </si>
  <si>
    <t>CUST563</t>
  </si>
  <si>
    <t>CUST616</t>
  </si>
  <si>
    <t>CUST564</t>
  </si>
  <si>
    <t>CUST456</t>
  </si>
  <si>
    <t>CUST565</t>
  </si>
  <si>
    <t>CUST493</t>
  </si>
  <si>
    <t>CUST398</t>
  </si>
  <si>
    <t>CUST629</t>
  </si>
  <si>
    <t>CUST399</t>
  </si>
  <si>
    <t>CUST495</t>
  </si>
  <si>
    <t>CUST573</t>
  </si>
  <si>
    <t>CUST418</t>
  </si>
  <si>
    <t>CUST574</t>
  </si>
  <si>
    <t>CUST637</t>
  </si>
  <si>
    <t>CUST575</t>
  </si>
  <si>
    <t>CUST352</t>
  </si>
  <si>
    <t>CUST370</t>
  </si>
  <si>
    <t>CUST366</t>
  </si>
  <si>
    <t>CUST478</t>
  </si>
  <si>
    <t>CUST339</t>
  </si>
  <si>
    <t>CUST581</t>
  </si>
  <si>
    <t>CUST429</t>
  </si>
  <si>
    <t>CUST402</t>
  </si>
  <si>
    <t>CUST432</t>
  </si>
  <si>
    <t>CUST403</t>
  </si>
  <si>
    <t>CUST434</t>
  </si>
  <si>
    <t>CUST404</t>
  </si>
  <si>
    <t>CUST588</t>
  </si>
  <si>
    <t>CUST589</t>
  </si>
  <si>
    <t>CUST291</t>
  </si>
  <si>
    <t>CUST260</t>
  </si>
  <si>
    <t>CUST321</t>
  </si>
  <si>
    <t>CUST170</t>
  </si>
  <si>
    <t>CUST018</t>
  </si>
  <si>
    <t>CUST097</t>
  </si>
  <si>
    <t>CUST307</t>
  </si>
  <si>
    <t>CUST172</t>
  </si>
  <si>
    <t>CUST007</t>
  </si>
  <si>
    <t>CUST117</t>
  </si>
  <si>
    <t>CUST266</t>
  </si>
  <si>
    <t>CUST176</t>
  </si>
  <si>
    <t>CUST286</t>
  </si>
  <si>
    <t>CUST177</t>
  </si>
  <si>
    <t>CUST080</t>
  </si>
  <si>
    <t>CUST178</t>
  </si>
  <si>
    <t>CUST161</t>
  </si>
  <si>
    <t>CUST002</t>
  </si>
  <si>
    <t>CUST095</t>
  </si>
  <si>
    <t>CUST049</t>
  </si>
  <si>
    <t>CUST256</t>
  </si>
  <si>
    <t>CUST098</t>
  </si>
  <si>
    <t>CUST263</t>
  </si>
  <si>
    <t>CUST026</t>
  </si>
  <si>
    <t>CUST274</t>
  </si>
  <si>
    <t>CUST187</t>
  </si>
  <si>
    <t>CUST041</t>
  </si>
  <si>
    <t>CUST033</t>
  </si>
  <si>
    <t>CUST289</t>
  </si>
  <si>
    <t>CUST123</t>
  </si>
  <si>
    <t>CUST297</t>
  </si>
  <si>
    <t>CUST192</t>
  </si>
  <si>
    <t>CUST158</t>
  </si>
  <si>
    <t>CUST053</t>
  </si>
  <si>
    <t>CUST083</t>
  </si>
  <si>
    <t>CUST125</t>
  </si>
  <si>
    <t>CUST316</t>
  </si>
  <si>
    <t>CUST027</t>
  </si>
  <si>
    <t>CUST011</t>
  </si>
  <si>
    <t>CUST127</t>
  </si>
  <si>
    <t>CUST328</t>
  </si>
  <si>
    <t>CUST129</t>
  </si>
  <si>
    <t>CUST063</t>
  </si>
  <si>
    <t>CUST203</t>
  </si>
  <si>
    <t>CUST005</t>
  </si>
  <si>
    <t>CUST207</t>
  </si>
  <si>
    <t>CUST261</t>
  </si>
  <si>
    <t>CUST131</t>
  </si>
  <si>
    <t>CUST148</t>
  </si>
  <si>
    <t>CUST101</t>
  </si>
  <si>
    <t>CUST272</t>
  </si>
  <si>
    <t>CUST102</t>
  </si>
  <si>
    <t>CUST275</t>
  </si>
  <si>
    <t>CUST214</t>
  </si>
  <si>
    <t>CUST019</t>
  </si>
  <si>
    <t>CUST135</t>
  </si>
  <si>
    <t>CUST153</t>
  </si>
  <si>
    <t>CUST216</t>
  </si>
  <si>
    <t>CUST076</t>
  </si>
  <si>
    <t>CUST136</t>
  </si>
  <si>
    <t>CUST290</t>
  </si>
  <si>
    <t>CUST137</t>
  </si>
  <si>
    <t>CUST077</t>
  </si>
  <si>
    <t>CUST221</t>
  </si>
  <si>
    <t>CUST299</t>
  </si>
  <si>
    <t>CUST227</t>
  </si>
  <si>
    <t>CUST302</t>
  </si>
  <si>
    <t>CUST228</t>
  </si>
  <si>
    <t>CUST304</t>
  </si>
  <si>
    <t>CUST104</t>
  </si>
  <si>
    <t>CUST022</t>
  </si>
  <si>
    <t>CUST233</t>
  </si>
  <si>
    <t>CUST160</t>
  </si>
  <si>
    <t>CUST234</t>
  </si>
  <si>
    <t>CUST315</t>
  </si>
  <si>
    <t>CUST235</t>
  </si>
  <si>
    <t>CUST162</t>
  </si>
  <si>
    <t>CUST237</t>
  </si>
  <si>
    <t>CUST094</t>
  </si>
  <si>
    <t>CUST009</t>
  </si>
  <si>
    <t>CUST325</t>
  </si>
  <si>
    <t>CUST244</t>
  </si>
  <si>
    <t>CUST113</t>
  </si>
  <si>
    <t>CUST246</t>
  </si>
  <si>
    <t>CUST087</t>
  </si>
  <si>
    <t>CUST247</t>
  </si>
  <si>
    <t>CUST096</t>
  </si>
  <si>
    <t>CUST062</t>
  </si>
  <si>
    <t>CUST855</t>
  </si>
  <si>
    <t>CUST952</t>
  </si>
  <si>
    <t>CUST984</t>
  </si>
  <si>
    <t>CUST906</t>
  </si>
  <si>
    <t>CUST781</t>
  </si>
  <si>
    <t>CUST907</t>
  </si>
  <si>
    <t>CUST893</t>
  </si>
  <si>
    <t>CUST790</t>
  </si>
  <si>
    <t>CUST902</t>
  </si>
  <si>
    <t>CUST909</t>
  </si>
  <si>
    <t>CUST772</t>
  </si>
  <si>
    <t>CUST714</t>
  </si>
  <si>
    <t>CUST818</t>
  </si>
  <si>
    <t>CUST802</t>
  </si>
  <si>
    <t>CUST821</t>
  </si>
  <si>
    <t>CUST864</t>
  </si>
  <si>
    <t>CUST784</t>
  </si>
  <si>
    <t>CUST804</t>
  </si>
  <si>
    <t>CUST674</t>
  </si>
  <si>
    <t>CUST697</t>
  </si>
  <si>
    <t>CUST996</t>
  </si>
  <si>
    <t>CUST865</t>
  </si>
  <si>
    <t>CUST883</t>
  </si>
  <si>
    <t>CUST916</t>
  </si>
  <si>
    <t>CUST852</t>
  </si>
  <si>
    <t>CUST866</t>
  </si>
  <si>
    <t>CUST854</t>
  </si>
  <si>
    <t>CUST867</t>
  </si>
  <si>
    <t>CUST889</t>
  </si>
  <si>
    <t>CUST868</t>
  </si>
  <si>
    <t>CUST744</t>
  </si>
  <si>
    <t>CUST791</t>
  </si>
  <si>
    <t>CUST974</t>
  </si>
  <si>
    <t>CUST753</t>
  </si>
  <si>
    <t>CUST787</t>
  </si>
  <si>
    <t>CUST922</t>
  </si>
  <si>
    <t>CUST825</t>
  </si>
  <si>
    <t>CUST721</t>
  </si>
  <si>
    <t>CUST846</t>
  </si>
  <si>
    <t>CUST761</t>
  </si>
  <si>
    <t>CUST717</t>
  </si>
  <si>
    <t>CUST925</t>
  </si>
  <si>
    <t>CUST904</t>
  </si>
  <si>
    <t>CUST926</t>
  </si>
  <si>
    <t>CUST905</t>
  </si>
  <si>
    <t>CUST792</t>
  </si>
  <si>
    <t>CUST783</t>
  </si>
  <si>
    <t>CUST733</t>
  </si>
  <si>
    <t>CUST955</t>
  </si>
  <si>
    <t>CUST707</t>
  </si>
  <si>
    <t>CUST741</t>
  </si>
  <si>
    <t>CUST734</t>
  </si>
  <si>
    <t>CUST725</t>
  </si>
  <si>
    <t>CUST793</t>
  </si>
  <si>
    <t>CUST687</t>
  </si>
  <si>
    <t>CUST749</t>
  </si>
  <si>
    <t>CUST963</t>
  </si>
  <si>
    <t>CUST933</t>
  </si>
  <si>
    <t>CUST764</t>
  </si>
  <si>
    <t>CUST934</t>
  </si>
  <si>
    <t>CUST967</t>
  </si>
  <si>
    <t>CUST935</t>
  </si>
  <si>
    <t>CUST798</t>
  </si>
  <si>
    <t>CUST737</t>
  </si>
  <si>
    <t>CUST892</t>
  </si>
  <si>
    <t>CUST937</t>
  </si>
  <si>
    <t>CUST973</t>
  </si>
  <si>
    <t>CUST794</t>
  </si>
  <si>
    <t>CUST747</t>
  </si>
  <si>
    <t>CUST939</t>
  </si>
  <si>
    <t>CUST894</t>
  </si>
  <si>
    <t>CUST940</t>
  </si>
  <si>
    <t>CUST979</t>
  </si>
  <si>
    <t>CUST795</t>
  </si>
  <si>
    <t>CUST698</t>
  </si>
  <si>
    <t>CUST877</t>
  </si>
  <si>
    <t>CUST983</t>
  </si>
  <si>
    <t>CUST739</t>
  </si>
  <si>
    <t>CUST845</t>
  </si>
  <si>
    <t>CUST878</t>
  </si>
  <si>
    <t>CUST826</t>
  </si>
  <si>
    <t>CUST945</t>
  </si>
  <si>
    <t>CUST989</t>
  </si>
  <si>
    <t>CUST879</t>
  </si>
  <si>
    <t>CUST901</t>
  </si>
  <si>
    <t>CUST947</t>
  </si>
  <si>
    <t>CUST670</t>
  </si>
  <si>
    <t>CUST770</t>
  </si>
  <si>
    <t>CUST995</t>
  </si>
  <si>
    <t>CUST836</t>
  </si>
  <si>
    <t>CUST760</t>
  </si>
  <si>
    <t>CUST814</t>
  </si>
  <si>
    <t>CUST881</t>
  </si>
  <si>
    <t>CUST914</t>
  </si>
  <si>
    <t>CUST874</t>
  </si>
  <si>
    <t>CUST427</t>
  </si>
  <si>
    <t>CUST579</t>
  </si>
  <si>
    <t>CUST378</t>
  </si>
  <si>
    <t>CUST555</t>
  </si>
  <si>
    <t>CUST505</t>
  </si>
  <si>
    <t>CUST556</t>
  </si>
  <si>
    <t>CUST363</t>
  </si>
  <si>
    <t>CUST518</t>
  </si>
  <si>
    <t>CUST379</t>
  </si>
  <si>
    <t>CUST596</t>
  </si>
  <si>
    <t>CUST387</t>
  </si>
  <si>
    <t>CUST408</t>
  </si>
  <si>
    <t>CUST460</t>
  </si>
  <si>
    <t>CUST558</t>
  </si>
  <si>
    <t>CUST367</t>
  </si>
  <si>
    <t>CUST396</t>
  </si>
  <si>
    <t>CUST542</t>
  </si>
  <si>
    <t>CUST560</t>
  </si>
  <si>
    <t>CUST384</t>
  </si>
  <si>
    <t>CUST601</t>
  </si>
  <si>
    <t>CUST401</t>
  </si>
  <si>
    <t>CUST602</t>
  </si>
  <si>
    <t>CUST641</t>
  </si>
  <si>
    <t>CUST483</t>
  </si>
  <si>
    <t>CUST344</t>
  </si>
  <si>
    <t>CUST397</t>
  </si>
  <si>
    <t>CUST468</t>
  </si>
  <si>
    <t>CUST537</t>
  </si>
  <si>
    <t>CUST388</t>
  </si>
  <si>
    <t>CUST606</t>
  </si>
  <si>
    <t>CUST586</t>
  </si>
  <si>
    <t>CUST375</t>
  </si>
  <si>
    <t>CUST446</t>
  </si>
  <si>
    <t>CUST485</t>
  </si>
  <si>
    <t>CUST512</t>
  </si>
  <si>
    <t>CUST523</t>
  </si>
  <si>
    <t>CUST445</t>
  </si>
  <si>
    <t>CUST539</t>
  </si>
  <si>
    <t>CUST544</t>
  </si>
  <si>
    <t>CUST486</t>
  </si>
  <si>
    <t>CUST531</t>
  </si>
  <si>
    <t>CUST612</t>
  </si>
  <si>
    <t>CUST345</t>
  </si>
  <si>
    <t>CUST376</t>
  </si>
  <si>
    <t>CUST638</t>
  </si>
  <si>
    <t>CUST362</t>
  </si>
  <si>
    <t>CUST394</t>
  </si>
  <si>
    <t>CUST349</t>
  </si>
  <si>
    <t>CUST337</t>
  </si>
  <si>
    <t>CUST566</t>
  </si>
  <si>
    <t>CUST365</t>
  </si>
  <si>
    <t>CUST617</t>
  </si>
  <si>
    <t>CUST371</t>
  </si>
  <si>
    <t>CUST618</t>
  </si>
  <si>
    <t>CUST423</t>
  </si>
  <si>
    <t>CUST454</t>
  </si>
  <si>
    <t>CUST650</t>
  </si>
  <si>
    <t>CUST489</t>
  </si>
  <si>
    <t>CUST353</t>
  </si>
  <si>
    <t>CUST451</t>
  </si>
  <si>
    <t>CUST585</t>
  </si>
  <si>
    <t>CUST364</t>
  </si>
  <si>
    <t>CUST355</t>
  </si>
  <si>
    <t>CUST568</t>
  </si>
  <si>
    <t>CUST473</t>
  </si>
  <si>
    <t>CUST541</t>
  </si>
  <si>
    <t>CUST359</t>
  </si>
  <si>
    <t>CUST625</t>
  </si>
  <si>
    <t>CUST667</t>
  </si>
  <si>
    <t>CUST570</t>
  </si>
  <si>
    <t>CUST358</t>
  </si>
  <si>
    <t>CUST627</t>
  </si>
  <si>
    <t>CUST347</t>
  </si>
  <si>
    <t>CUST571</t>
  </si>
  <si>
    <t>CUST514</t>
  </si>
  <si>
    <t>CUST438</t>
  </si>
  <si>
    <t>CUST025</t>
  </si>
  <si>
    <t>CUST141</t>
  </si>
  <si>
    <t>CUST044</t>
  </si>
  <si>
    <t>CUST258</t>
  </si>
  <si>
    <t>CUST045</t>
  </si>
  <si>
    <t>CUST003</t>
  </si>
  <si>
    <t>CUST254</t>
  </si>
  <si>
    <t>CUST174</t>
  </si>
  <si>
    <t>CUST236</t>
  </si>
  <si>
    <t>CUST059</t>
  </si>
  <si>
    <t>CUST116</t>
  </si>
  <si>
    <t>CUST066</t>
  </si>
  <si>
    <t>CUST100</t>
  </si>
  <si>
    <t>CUST179</t>
  </si>
  <si>
    <t>CUST250</t>
  </si>
  <si>
    <t>CUST147</t>
  </si>
  <si>
    <t>CUST195</t>
  </si>
  <si>
    <t>CUST128</t>
  </si>
  <si>
    <t>CUST079</t>
  </si>
  <si>
    <t>CUST220</t>
  </si>
  <si>
    <t>CUST191</t>
  </si>
  <si>
    <t>CUST028</t>
  </si>
  <si>
    <t>CUST306</t>
  </si>
  <si>
    <t>CUST268</t>
  </si>
  <si>
    <t>CUST310</t>
  </si>
  <si>
    <t>CUST006</t>
  </si>
  <si>
    <t>CUST057</t>
  </si>
  <si>
    <t>CUST270</t>
  </si>
  <si>
    <t>CUST318</t>
  </si>
  <si>
    <t>CUST068</t>
  </si>
  <si>
    <t>CUST322</t>
  </si>
  <si>
    <t>CUST189</t>
  </si>
  <si>
    <t>CUST252</t>
  </si>
  <si>
    <t>CUST273</t>
  </si>
  <si>
    <t>CUST088</t>
  </si>
  <si>
    <t>CUST103</t>
  </si>
  <si>
    <t>CUST052</t>
  </si>
  <si>
    <t>CUST223</t>
  </si>
  <si>
    <t>CUST205</t>
  </si>
  <si>
    <t>CUST040</t>
  </si>
  <si>
    <t>CUST206</t>
  </si>
  <si>
    <t>CUST070</t>
  </si>
  <si>
    <t>CUST081</t>
  </si>
  <si>
    <t>CUST224</t>
  </si>
  <si>
    <t>CUST238</t>
  </si>
  <si>
    <t>CUST279</t>
  </si>
  <si>
    <t>CUST305</t>
  </si>
  <si>
    <t>CUST151</t>
  </si>
  <si>
    <t>CUST240</t>
  </si>
  <si>
    <t>CUST004</t>
  </si>
  <si>
    <t>CUST309</t>
  </si>
  <si>
    <t>CUST226</t>
  </si>
  <si>
    <t>CUST242</t>
  </si>
  <si>
    <t>CUST283</t>
  </si>
  <si>
    <t>CUST143</t>
  </si>
  <si>
    <t>CUST201</t>
  </si>
  <si>
    <t>CUST105</t>
  </si>
  <si>
    <t>CUST285</t>
  </si>
  <si>
    <t>CUST091</t>
  </si>
  <si>
    <t>CUST130</t>
  </si>
  <si>
    <t>CUST319</t>
  </si>
  <si>
    <t>CUST021</t>
  </si>
  <si>
    <t>CUST106</t>
  </si>
  <si>
    <t>CUST120</t>
  </si>
  <si>
    <t>CUST249</t>
  </si>
  <si>
    <t>CUST230</t>
  </si>
  <si>
    <t>CUST185</t>
  </si>
  <si>
    <t>CUST140</t>
  </si>
  <si>
    <t>CUST134</t>
  </si>
  <si>
    <t>CUST232</t>
  </si>
  <si>
    <t>CUST255</t>
  </si>
  <si>
    <t>CUST204</t>
  </si>
  <si>
    <t>CUST168</t>
  </si>
  <si>
    <t>CUST024</t>
  </si>
  <si>
    <t>CUST090</t>
  </si>
  <si>
    <t>CUST029</t>
  </si>
  <si>
    <t>CUST043</t>
  </si>
  <si>
    <t>Transaction ID</t>
  </si>
  <si>
    <t>Date</t>
  </si>
  <si>
    <t>YEAR</t>
  </si>
  <si>
    <t>MONTH</t>
  </si>
  <si>
    <t>Customer ID</t>
  </si>
  <si>
    <t>Gender</t>
  </si>
  <si>
    <t>Age</t>
  </si>
  <si>
    <t>Product Category</t>
  </si>
  <si>
    <t>Quantity</t>
  </si>
  <si>
    <t>Price per Unit</t>
  </si>
  <si>
    <t>Total Amount</t>
  </si>
  <si>
    <t>Male</t>
  </si>
  <si>
    <t>Female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</si>
</sst>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indent="1"/>
    </xf>
    <xf numFmtId="1" fontId="0" fillId="0" borderId="0" xfId="0" applyNumberFormat="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numFmt numFmtId="2" formatCode="0.00"/>
    </dxf>
    <dxf>
      <numFmt numFmtId="2" formatCode="0.00"/>
    </dxf>
    <dxf>
      <numFmt numFmtId="1" formatCode="0"/>
    </dxf>
    <dxf>
      <numFmt numFmtId="1" formatCode="0"/>
    </dxf>
    <dxf>
      <numFmt numFmtId="1" formatCode="0"/>
    </dxf>
    <dxf>
      <numFmt numFmtId="19" formatCode="dd/mm/yyyy"/>
    </dxf>
    <dxf>
      <font>
        <b/>
        <color theme="1"/>
      </font>
      <border>
        <bottom style="thin">
          <color theme="4"/>
        </bottom>
        <vertical/>
        <horizontal/>
      </border>
    </dxf>
    <dxf>
      <font>
        <color theme="1"/>
      </font>
      <fill>
        <patternFill>
          <bgColor rgb="FFFFFF66"/>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333C3674-AFF2-4733-A5E9-0154DCE13FB5}">
      <tableStyleElement type="wholeTable" dxfId="7"/>
      <tableStyleElement type="headerRow" dxfId="6"/>
    </tableStyle>
  </tableStyles>
  <colors>
    <mruColors>
      <color rgb="FFFFFF66"/>
      <color rgb="FF55DFDF"/>
      <color rgb="FF000066"/>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[retail_sales_dataset.csv.xlsx]profit gained!PivotTable30</c:name>
    <c:fmtId val="27"/>
  </c:pivotSource>
  <c:chart>
    <c:autoTitleDeleted val="0"/>
    <c:pivotFmts>
      <c:pivotFmt>
        <c:idx val="0"/>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621981627296587"/>
          <c:y val="0.24537037037037038"/>
          <c:w val="0.51634864391951008"/>
          <c:h val="0.56992344706911635"/>
        </c:manualLayout>
      </c:layout>
      <c:line3DChart>
        <c:grouping val="standard"/>
        <c:varyColors val="0"/>
        <c:ser>
          <c:idx val="0"/>
          <c:order val="0"/>
          <c:tx>
            <c:strRef>
              <c:f>'profit gained'!$B$3:$B$5</c:f>
              <c:strCache>
                <c:ptCount val="1"/>
                <c:pt idx="0">
                  <c:v>Beauty - Sum of Total Amount</c:v>
                </c:pt>
              </c:strCache>
            </c:strRef>
          </c:tx>
          <c:spPr>
            <a:solidFill>
              <a:schemeClr val="accent1"/>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gained'!$B$6:$B$19</c:f>
              <c:numCache>
                <c:formatCode>0.00</c:formatCode>
                <c:ptCount val="12"/>
                <c:pt idx="0">
                  <c:v>11730</c:v>
                </c:pt>
                <c:pt idx="1">
                  <c:v>29930</c:v>
                </c:pt>
                <c:pt idx="2">
                  <c:v>50655</c:v>
                </c:pt>
                <c:pt idx="3">
                  <c:v>49700</c:v>
                </c:pt>
                <c:pt idx="5">
                  <c:v>1000</c:v>
                </c:pt>
                <c:pt idx="6">
                  <c:v>2199</c:v>
                </c:pt>
                <c:pt idx="7">
                  <c:v>199</c:v>
                </c:pt>
                <c:pt idx="8">
                  <c:v>2098</c:v>
                </c:pt>
                <c:pt idx="10">
                  <c:v>1440</c:v>
                </c:pt>
                <c:pt idx="11">
                  <c:v>1499</c:v>
                </c:pt>
              </c:numCache>
            </c:numRef>
          </c:val>
          <c:smooth val="0"/>
          <c:extLst>
            <c:ext xmlns:c16="http://schemas.microsoft.com/office/drawing/2014/chart" uri="{C3380CC4-5D6E-409C-BE32-E72D297353CC}">
              <c16:uniqueId val="{00000007-79F7-4B01-AAF2-7105328A7151}"/>
            </c:ext>
          </c:extLst>
        </c:ser>
        <c:ser>
          <c:idx val="1"/>
          <c:order val="1"/>
          <c:tx>
            <c:strRef>
              <c:f>'profit gained'!$C$3:$C$5</c:f>
              <c:strCache>
                <c:ptCount val="1"/>
                <c:pt idx="0">
                  <c:v>Beauty - Sum of Price per Unit</c:v>
                </c:pt>
              </c:strCache>
            </c:strRef>
          </c:tx>
          <c:spPr>
            <a:solidFill>
              <a:schemeClr val="accent2"/>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gained'!$C$6:$C$19</c:f>
              <c:numCache>
                <c:formatCode>0.00</c:formatCode>
                <c:ptCount val="12"/>
                <c:pt idx="0">
                  <c:v>11730</c:v>
                </c:pt>
                <c:pt idx="1">
                  <c:v>14965</c:v>
                </c:pt>
                <c:pt idx="2">
                  <c:v>16885</c:v>
                </c:pt>
                <c:pt idx="3">
                  <c:v>12425</c:v>
                </c:pt>
                <c:pt idx="5">
                  <c:v>89</c:v>
                </c:pt>
                <c:pt idx="6">
                  <c:v>569</c:v>
                </c:pt>
                <c:pt idx="7">
                  <c:v>599</c:v>
                </c:pt>
                <c:pt idx="8">
                  <c:v>1275</c:v>
                </c:pt>
                <c:pt idx="10">
                  <c:v>700</c:v>
                </c:pt>
                <c:pt idx="11">
                  <c:v>250</c:v>
                </c:pt>
              </c:numCache>
            </c:numRef>
          </c:val>
          <c:smooth val="0"/>
          <c:extLst>
            <c:ext xmlns:c16="http://schemas.microsoft.com/office/drawing/2014/chart" uri="{C3380CC4-5D6E-409C-BE32-E72D297353CC}">
              <c16:uniqueId val="{00000008-79F7-4B01-AAF2-7105328A7151}"/>
            </c:ext>
          </c:extLst>
        </c:ser>
        <c:ser>
          <c:idx val="2"/>
          <c:order val="2"/>
          <c:tx>
            <c:strRef>
              <c:f>'profit gained'!$D$3:$D$5</c:f>
              <c:strCache>
                <c:ptCount val="1"/>
                <c:pt idx="0">
                  <c:v>Clothing - Sum of Total Amount</c:v>
                </c:pt>
              </c:strCache>
            </c:strRef>
          </c:tx>
          <c:spPr>
            <a:solidFill>
              <a:schemeClr val="accent3"/>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gained'!$D$6:$D$19</c:f>
              <c:numCache>
                <c:formatCode>0.00</c:formatCode>
                <c:ptCount val="12"/>
                <c:pt idx="0">
                  <c:v>16115</c:v>
                </c:pt>
                <c:pt idx="1">
                  <c:v>24670</c:v>
                </c:pt>
                <c:pt idx="2">
                  <c:v>48315</c:v>
                </c:pt>
                <c:pt idx="3">
                  <c:v>66480</c:v>
                </c:pt>
              </c:numCache>
            </c:numRef>
          </c:val>
          <c:smooth val="0"/>
          <c:extLst>
            <c:ext xmlns:c16="http://schemas.microsoft.com/office/drawing/2014/chart" uri="{C3380CC4-5D6E-409C-BE32-E72D297353CC}">
              <c16:uniqueId val="{00000004-A05D-4F5B-8BB1-EC869098F392}"/>
            </c:ext>
          </c:extLst>
        </c:ser>
        <c:ser>
          <c:idx val="3"/>
          <c:order val="3"/>
          <c:tx>
            <c:strRef>
              <c:f>'profit gained'!$E$3:$E$5</c:f>
              <c:strCache>
                <c:ptCount val="1"/>
                <c:pt idx="0">
                  <c:v>Clothing - Sum of Price per Unit</c:v>
                </c:pt>
              </c:strCache>
            </c:strRef>
          </c:tx>
          <c:spPr>
            <a:solidFill>
              <a:schemeClr val="accent4"/>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gained'!$E$6:$E$19</c:f>
              <c:numCache>
                <c:formatCode>0.00</c:formatCode>
                <c:ptCount val="12"/>
                <c:pt idx="0">
                  <c:v>16115</c:v>
                </c:pt>
                <c:pt idx="1">
                  <c:v>12335</c:v>
                </c:pt>
                <c:pt idx="2">
                  <c:v>16105</c:v>
                </c:pt>
                <c:pt idx="3">
                  <c:v>16620</c:v>
                </c:pt>
              </c:numCache>
            </c:numRef>
          </c:val>
          <c:smooth val="0"/>
          <c:extLst>
            <c:ext xmlns:c16="http://schemas.microsoft.com/office/drawing/2014/chart" uri="{C3380CC4-5D6E-409C-BE32-E72D297353CC}">
              <c16:uniqueId val="{00000005-A05D-4F5B-8BB1-EC869098F392}"/>
            </c:ext>
          </c:extLst>
        </c:ser>
        <c:ser>
          <c:idx val="4"/>
          <c:order val="4"/>
          <c:tx>
            <c:strRef>
              <c:f>'profit gained'!$F$3:$F$5</c:f>
              <c:strCache>
                <c:ptCount val="1"/>
                <c:pt idx="0">
                  <c:v>Electronics - Sum of Total Amount</c:v>
                </c:pt>
              </c:strCache>
            </c:strRef>
          </c:tx>
          <c:spPr>
            <a:solidFill>
              <a:schemeClr val="accent5"/>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gained'!$F$6:$F$19</c:f>
              <c:numCache>
                <c:formatCode>0.00</c:formatCode>
                <c:ptCount val="12"/>
                <c:pt idx="0">
                  <c:v>16930</c:v>
                </c:pt>
                <c:pt idx="1">
                  <c:v>26450</c:v>
                </c:pt>
                <c:pt idx="2">
                  <c:v>43815</c:v>
                </c:pt>
                <c:pt idx="3">
                  <c:v>69680</c:v>
                </c:pt>
                <c:pt idx="4">
                  <c:v>30</c:v>
                </c:pt>
                <c:pt idx="7">
                  <c:v>769</c:v>
                </c:pt>
                <c:pt idx="9">
                  <c:v>1098</c:v>
                </c:pt>
                <c:pt idx="10">
                  <c:v>699</c:v>
                </c:pt>
                <c:pt idx="11">
                  <c:v>1897</c:v>
                </c:pt>
              </c:numCache>
            </c:numRef>
          </c:val>
          <c:smooth val="0"/>
          <c:extLst>
            <c:ext xmlns:c16="http://schemas.microsoft.com/office/drawing/2014/chart" uri="{C3380CC4-5D6E-409C-BE32-E72D297353CC}">
              <c16:uniqueId val="{00000006-551F-4955-A048-6D61FD16AA9E}"/>
            </c:ext>
          </c:extLst>
        </c:ser>
        <c:ser>
          <c:idx val="5"/>
          <c:order val="5"/>
          <c:tx>
            <c:strRef>
              <c:f>'profit gained'!$G$3:$G$5</c:f>
              <c:strCache>
                <c:ptCount val="1"/>
                <c:pt idx="0">
                  <c:v>Electronics - Sum of Price per Unit</c:v>
                </c:pt>
              </c:strCache>
            </c:strRef>
          </c:tx>
          <c:spPr>
            <a:solidFill>
              <a:schemeClr val="accent6"/>
            </a:solidFill>
            <a:ln w="25400">
              <a:noFill/>
            </a:ln>
            <a:effectLst/>
            <a:sp3d/>
          </c:spP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gained'!$G$6:$G$19</c:f>
              <c:numCache>
                <c:formatCode>0.00</c:formatCode>
                <c:ptCount val="12"/>
                <c:pt idx="0">
                  <c:v>16930</c:v>
                </c:pt>
                <c:pt idx="1">
                  <c:v>13225</c:v>
                </c:pt>
                <c:pt idx="2">
                  <c:v>14605</c:v>
                </c:pt>
                <c:pt idx="3">
                  <c:v>17420</c:v>
                </c:pt>
                <c:pt idx="4">
                  <c:v>30</c:v>
                </c:pt>
                <c:pt idx="7">
                  <c:v>350</c:v>
                </c:pt>
                <c:pt idx="9">
                  <c:v>176</c:v>
                </c:pt>
                <c:pt idx="10">
                  <c:v>65</c:v>
                </c:pt>
                <c:pt idx="11">
                  <c:v>315</c:v>
                </c:pt>
              </c:numCache>
            </c:numRef>
          </c:val>
          <c:smooth val="0"/>
          <c:extLst>
            <c:ext xmlns:c16="http://schemas.microsoft.com/office/drawing/2014/chart" uri="{C3380CC4-5D6E-409C-BE32-E72D297353CC}">
              <c16:uniqueId val="{00000007-551F-4955-A048-6D61FD16AA9E}"/>
            </c:ext>
          </c:extLst>
        </c:ser>
        <c:dLbls>
          <c:showLegendKey val="0"/>
          <c:showVal val="0"/>
          <c:showCatName val="0"/>
          <c:showSerName val="0"/>
          <c:showPercent val="0"/>
          <c:showBubbleSize val="0"/>
        </c:dLbls>
        <c:axId val="1297934959"/>
        <c:axId val="1297918639"/>
        <c:axId val="1352437903"/>
      </c:line3DChart>
      <c:catAx>
        <c:axId val="1297934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18639"/>
        <c:crosses val="autoZero"/>
        <c:auto val="1"/>
        <c:lblAlgn val="ctr"/>
        <c:lblOffset val="100"/>
        <c:noMultiLvlLbl val="0"/>
      </c:catAx>
      <c:valAx>
        <c:axId val="12979186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34959"/>
        <c:crosses val="autoZero"/>
        <c:crossBetween val="between"/>
      </c:valAx>
      <c:serAx>
        <c:axId val="135243790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7918639"/>
        <c:crosses val="autoZero"/>
      </c:serAx>
      <c:spPr>
        <a:noFill/>
        <a:ln>
          <a:noFill/>
        </a:ln>
        <a:effectLst/>
      </c:spPr>
    </c:plotArea>
    <c:legend>
      <c:legendPos val="r"/>
      <c:layout>
        <c:manualLayout>
          <c:xMode val="edge"/>
          <c:yMode val="edge"/>
          <c:x val="2.3285433070866151E-2"/>
          <c:y val="2.6617089530475351E-2"/>
          <c:w val="0.95171456692913381"/>
          <c:h val="0.173617672790901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autoTitleDeleted val="1"/>
    <c:plotArea>
      <c:layout/>
      <c:barChart>
        <c:barDir val="bar"/>
        <c:grouping val="stacked"/>
        <c:varyColors val="0"/>
        <c:ser>
          <c:idx val="0"/>
          <c:order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by categories'!$D$4:$D$6</c:f>
              <c:strCache>
                <c:ptCount val="3"/>
                <c:pt idx="0">
                  <c:v>Beauty</c:v>
                </c:pt>
                <c:pt idx="1">
                  <c:v>Clothing</c:v>
                </c:pt>
                <c:pt idx="2">
                  <c:v>Electronics</c:v>
                </c:pt>
              </c:strCache>
            </c:strRef>
          </c:cat>
          <c:val>
            <c:numRef>
              <c:f>'sales by categories'!$E$4:$E$6</c:f>
              <c:numCache>
                <c:formatCode>0.00</c:formatCode>
                <c:ptCount val="3"/>
                <c:pt idx="0">
                  <c:v>150450</c:v>
                </c:pt>
                <c:pt idx="1">
                  <c:v>155580</c:v>
                </c:pt>
                <c:pt idx="2">
                  <c:v>161368</c:v>
                </c:pt>
              </c:numCache>
            </c:numRef>
          </c:val>
          <c:extLst>
            <c:ext xmlns:c16="http://schemas.microsoft.com/office/drawing/2014/chart" uri="{C3380CC4-5D6E-409C-BE32-E72D297353CC}">
              <c16:uniqueId val="{00000000-66F9-4BE4-AE4F-E9A04B7D1230}"/>
            </c:ext>
          </c:extLst>
        </c:ser>
        <c:dLbls>
          <c:showLegendKey val="0"/>
          <c:showVal val="1"/>
          <c:showCatName val="0"/>
          <c:showSerName val="0"/>
          <c:showPercent val="0"/>
          <c:showBubbleSize val="0"/>
        </c:dLbls>
        <c:gapWidth val="50"/>
        <c:overlap val="100"/>
        <c:axId val="1297917199"/>
        <c:axId val="1297921039"/>
      </c:barChart>
      <c:catAx>
        <c:axId val="129791719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baseline="0">
                <a:solidFill>
                  <a:schemeClr val="tx1"/>
                </a:solidFill>
                <a:latin typeface="+mn-lt"/>
                <a:ea typeface="+mn-ea"/>
                <a:cs typeface="+mn-cs"/>
              </a:defRPr>
            </a:pPr>
            <a:endParaRPr lang="en-US"/>
          </a:p>
        </c:txPr>
        <c:crossAx val="1297921039"/>
        <c:crosses val="autoZero"/>
        <c:auto val="1"/>
        <c:lblAlgn val="ctr"/>
        <c:lblOffset val="100"/>
        <c:noMultiLvlLbl val="0"/>
      </c:catAx>
      <c:valAx>
        <c:axId val="1297921039"/>
        <c:scaling>
          <c:orientation val="minMax"/>
        </c:scaling>
        <c:delete val="1"/>
        <c:axPos val="b"/>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129791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[retail_sales_dataset.csv.xlsx]profit gained!PivotTable30</c:name>
    <c:fmtId val="15"/>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ln>
          <a:effectLst>
            <a:glow rad="139700">
              <a:schemeClr val="accent1">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ln>
          <a:effectLst>
            <a:glow rad="139700">
              <a:schemeClr val="accent1">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ln>
          <a:effectLst>
            <a:glow rad="139700">
              <a:schemeClr val="accent1">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36574074074074081"/>
          <c:w val="0.82843088363954498"/>
          <c:h val="0.47270122484689414"/>
        </c:manualLayout>
      </c:layout>
      <c:lineChart>
        <c:grouping val="standard"/>
        <c:varyColors val="0"/>
        <c:ser>
          <c:idx val="0"/>
          <c:order val="0"/>
          <c:tx>
            <c:strRef>
              <c:f>'profit gained'!$B$3:$B$5</c:f>
              <c:strCache>
                <c:ptCount val="1"/>
                <c:pt idx="0">
                  <c:v>Beauty - Sum of Total Amount</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gained'!$B$6:$B$19</c:f>
              <c:numCache>
                <c:formatCode>0.00</c:formatCode>
                <c:ptCount val="12"/>
                <c:pt idx="0">
                  <c:v>11730</c:v>
                </c:pt>
                <c:pt idx="1">
                  <c:v>29930</c:v>
                </c:pt>
                <c:pt idx="2">
                  <c:v>50655</c:v>
                </c:pt>
                <c:pt idx="3">
                  <c:v>49700</c:v>
                </c:pt>
                <c:pt idx="5">
                  <c:v>1000</c:v>
                </c:pt>
                <c:pt idx="6">
                  <c:v>2199</c:v>
                </c:pt>
                <c:pt idx="7">
                  <c:v>199</c:v>
                </c:pt>
                <c:pt idx="8">
                  <c:v>2098</c:v>
                </c:pt>
                <c:pt idx="10">
                  <c:v>1440</c:v>
                </c:pt>
                <c:pt idx="11">
                  <c:v>1499</c:v>
                </c:pt>
              </c:numCache>
            </c:numRef>
          </c:val>
          <c:smooth val="0"/>
          <c:extLst>
            <c:ext xmlns:c16="http://schemas.microsoft.com/office/drawing/2014/chart" uri="{C3380CC4-5D6E-409C-BE32-E72D297353CC}">
              <c16:uniqueId val="{00000007-792A-4E06-AFAD-85B3EE89978F}"/>
            </c:ext>
          </c:extLst>
        </c:ser>
        <c:ser>
          <c:idx val="1"/>
          <c:order val="1"/>
          <c:tx>
            <c:strRef>
              <c:f>'profit gained'!$C$3:$C$5</c:f>
              <c:strCache>
                <c:ptCount val="1"/>
                <c:pt idx="0">
                  <c:v>Beauty - Sum of Price per Unit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gained'!$C$6:$C$19</c:f>
              <c:numCache>
                <c:formatCode>0.00</c:formatCode>
                <c:ptCount val="12"/>
                <c:pt idx="0">
                  <c:v>11730</c:v>
                </c:pt>
                <c:pt idx="1">
                  <c:v>14965</c:v>
                </c:pt>
                <c:pt idx="2">
                  <c:v>16885</c:v>
                </c:pt>
                <c:pt idx="3">
                  <c:v>12425</c:v>
                </c:pt>
                <c:pt idx="5">
                  <c:v>89</c:v>
                </c:pt>
                <c:pt idx="6">
                  <c:v>569</c:v>
                </c:pt>
                <c:pt idx="7">
                  <c:v>599</c:v>
                </c:pt>
                <c:pt idx="8">
                  <c:v>1275</c:v>
                </c:pt>
                <c:pt idx="10">
                  <c:v>700</c:v>
                </c:pt>
                <c:pt idx="11">
                  <c:v>250</c:v>
                </c:pt>
              </c:numCache>
            </c:numRef>
          </c:val>
          <c:smooth val="0"/>
          <c:extLst>
            <c:ext xmlns:c16="http://schemas.microsoft.com/office/drawing/2014/chart" uri="{C3380CC4-5D6E-409C-BE32-E72D297353CC}">
              <c16:uniqueId val="{00000008-792A-4E06-AFAD-85B3EE89978F}"/>
            </c:ext>
          </c:extLst>
        </c:ser>
        <c:ser>
          <c:idx val="2"/>
          <c:order val="2"/>
          <c:tx>
            <c:strRef>
              <c:f>'profit gained'!$D$3:$D$5</c:f>
              <c:strCache>
                <c:ptCount val="1"/>
                <c:pt idx="0">
                  <c:v>Clothing - Sum of Total Amount</c:v>
                </c:pt>
              </c:strCache>
            </c:strRef>
          </c:tx>
          <c:spPr>
            <a:ln w="22225" cap="rnd">
              <a:solidFill>
                <a:schemeClr val="accent3"/>
              </a:solidFill>
            </a:ln>
            <a:effectLst>
              <a:glow rad="139700">
                <a:schemeClr val="accent3">
                  <a:satMod val="175000"/>
                  <a:alpha val="14000"/>
                </a:schemeClr>
              </a:glow>
            </a:effectLst>
          </c:spPr>
          <c:marker>
            <c:symbol val="circle"/>
            <c:size val="4"/>
            <c:spPr>
              <a:solidFill>
                <a:schemeClr val="accent3">
                  <a:lumMod val="60000"/>
                  <a:lumOff val="40000"/>
                </a:schemeClr>
              </a:solidFill>
              <a:ln>
                <a:noFill/>
              </a:ln>
              <a:effectLst>
                <a:glow rad="63500">
                  <a:schemeClr val="accent3">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gained'!$D$6:$D$19</c:f>
              <c:numCache>
                <c:formatCode>0.00</c:formatCode>
                <c:ptCount val="12"/>
                <c:pt idx="0">
                  <c:v>16115</c:v>
                </c:pt>
                <c:pt idx="1">
                  <c:v>24670</c:v>
                </c:pt>
                <c:pt idx="2">
                  <c:v>48315</c:v>
                </c:pt>
                <c:pt idx="3">
                  <c:v>66480</c:v>
                </c:pt>
              </c:numCache>
            </c:numRef>
          </c:val>
          <c:smooth val="0"/>
          <c:extLst>
            <c:ext xmlns:c16="http://schemas.microsoft.com/office/drawing/2014/chart" uri="{C3380CC4-5D6E-409C-BE32-E72D297353CC}">
              <c16:uniqueId val="{00000005-6434-442A-BA00-D5C7783655D1}"/>
            </c:ext>
          </c:extLst>
        </c:ser>
        <c:ser>
          <c:idx val="3"/>
          <c:order val="3"/>
          <c:tx>
            <c:strRef>
              <c:f>'profit gained'!$E$3:$E$5</c:f>
              <c:strCache>
                <c:ptCount val="1"/>
                <c:pt idx="0">
                  <c:v>Clothing - Sum of Price per Unit</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gained'!$E$6:$E$19</c:f>
              <c:numCache>
                <c:formatCode>0.00</c:formatCode>
                <c:ptCount val="12"/>
                <c:pt idx="0">
                  <c:v>16115</c:v>
                </c:pt>
                <c:pt idx="1">
                  <c:v>12335</c:v>
                </c:pt>
                <c:pt idx="2">
                  <c:v>16105</c:v>
                </c:pt>
                <c:pt idx="3">
                  <c:v>16620</c:v>
                </c:pt>
              </c:numCache>
            </c:numRef>
          </c:val>
          <c:smooth val="0"/>
          <c:extLst>
            <c:ext xmlns:c16="http://schemas.microsoft.com/office/drawing/2014/chart" uri="{C3380CC4-5D6E-409C-BE32-E72D297353CC}">
              <c16:uniqueId val="{00000006-6434-442A-BA00-D5C7783655D1}"/>
            </c:ext>
          </c:extLst>
        </c:ser>
        <c:ser>
          <c:idx val="4"/>
          <c:order val="4"/>
          <c:tx>
            <c:strRef>
              <c:f>'profit gained'!$F$3:$F$5</c:f>
              <c:strCache>
                <c:ptCount val="1"/>
                <c:pt idx="0">
                  <c:v>Electronics - Sum of Total Amount</c:v>
                </c:pt>
              </c:strCache>
            </c:strRef>
          </c:tx>
          <c:spPr>
            <a:ln w="22225" cap="rnd">
              <a:solidFill>
                <a:schemeClr val="accent5"/>
              </a:solidFill>
            </a:ln>
            <a:effectLst>
              <a:glow rad="139700">
                <a:schemeClr val="accent5">
                  <a:satMod val="175000"/>
                  <a:alpha val="14000"/>
                </a:schemeClr>
              </a:glow>
            </a:effectLst>
          </c:spPr>
          <c:marker>
            <c:symbol val="circle"/>
            <c:size val="4"/>
            <c:spPr>
              <a:solidFill>
                <a:schemeClr val="accent5">
                  <a:lumMod val="60000"/>
                  <a:lumOff val="40000"/>
                </a:schemeClr>
              </a:solidFill>
              <a:ln>
                <a:noFill/>
              </a:ln>
              <a:effectLst>
                <a:glow rad="63500">
                  <a:schemeClr val="accent5">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gained'!$F$6:$F$19</c:f>
              <c:numCache>
                <c:formatCode>0.00</c:formatCode>
                <c:ptCount val="12"/>
                <c:pt idx="0">
                  <c:v>16930</c:v>
                </c:pt>
                <c:pt idx="1">
                  <c:v>26450</c:v>
                </c:pt>
                <c:pt idx="2">
                  <c:v>43815</c:v>
                </c:pt>
                <c:pt idx="3">
                  <c:v>69680</c:v>
                </c:pt>
                <c:pt idx="4">
                  <c:v>30</c:v>
                </c:pt>
                <c:pt idx="7">
                  <c:v>769</c:v>
                </c:pt>
                <c:pt idx="9">
                  <c:v>1098</c:v>
                </c:pt>
                <c:pt idx="10">
                  <c:v>699</c:v>
                </c:pt>
                <c:pt idx="11">
                  <c:v>1897</c:v>
                </c:pt>
              </c:numCache>
            </c:numRef>
          </c:val>
          <c:smooth val="0"/>
          <c:extLst>
            <c:ext xmlns:c16="http://schemas.microsoft.com/office/drawing/2014/chart" uri="{C3380CC4-5D6E-409C-BE32-E72D297353CC}">
              <c16:uniqueId val="{00000007-449A-4A03-BDBE-CEE287CC28F8}"/>
            </c:ext>
          </c:extLst>
        </c:ser>
        <c:ser>
          <c:idx val="5"/>
          <c:order val="5"/>
          <c:tx>
            <c:strRef>
              <c:f>'profit gained'!$G$3:$G$5</c:f>
              <c:strCache>
                <c:ptCount val="1"/>
                <c:pt idx="0">
                  <c:v>Electronics - Sum of Price per Unit</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cat>
            <c:multiLvlStrRef>
              <c:f>'profit gained'!$A$6:$A$19</c:f>
              <c:multiLvlStrCache>
                <c:ptCount val="12"/>
                <c:lvl>
                  <c:pt idx="0">
                    <c:v>1</c:v>
                  </c:pt>
                  <c:pt idx="1">
                    <c:v>2</c:v>
                  </c:pt>
                  <c:pt idx="2">
                    <c:v>3</c:v>
                  </c:pt>
                  <c:pt idx="3">
                    <c:v>4</c:v>
                  </c:pt>
                  <c:pt idx="4">
                    <c:v>1</c:v>
                  </c:pt>
                  <c:pt idx="5">
                    <c:v>2</c:v>
                  </c:pt>
                  <c:pt idx="6">
                    <c:v>3</c:v>
                  </c:pt>
                  <c:pt idx="7">
                    <c:v>4</c:v>
                  </c:pt>
                  <c:pt idx="8">
                    <c:v>5</c:v>
                  </c:pt>
                  <c:pt idx="9">
                    <c:v>6</c:v>
                  </c:pt>
                  <c:pt idx="10">
                    <c:v>7</c:v>
                  </c:pt>
                  <c:pt idx="11">
                    <c:v>8</c:v>
                  </c:pt>
                </c:lvl>
                <c:lvl>
                  <c:pt idx="0">
                    <c:v>2023</c:v>
                  </c:pt>
                  <c:pt idx="4">
                    <c:v>2024</c:v>
                  </c:pt>
                </c:lvl>
              </c:multiLvlStrCache>
            </c:multiLvlStrRef>
          </c:cat>
          <c:val>
            <c:numRef>
              <c:f>'profit gained'!$G$6:$G$19</c:f>
              <c:numCache>
                <c:formatCode>0.00</c:formatCode>
                <c:ptCount val="12"/>
                <c:pt idx="0">
                  <c:v>16930</c:v>
                </c:pt>
                <c:pt idx="1">
                  <c:v>13225</c:v>
                </c:pt>
                <c:pt idx="2">
                  <c:v>14605</c:v>
                </c:pt>
                <c:pt idx="3">
                  <c:v>17420</c:v>
                </c:pt>
                <c:pt idx="4">
                  <c:v>30</c:v>
                </c:pt>
                <c:pt idx="7">
                  <c:v>350</c:v>
                </c:pt>
                <c:pt idx="9">
                  <c:v>176</c:v>
                </c:pt>
                <c:pt idx="10">
                  <c:v>65</c:v>
                </c:pt>
                <c:pt idx="11">
                  <c:v>315</c:v>
                </c:pt>
              </c:numCache>
            </c:numRef>
          </c:val>
          <c:smooth val="0"/>
          <c:extLst>
            <c:ext xmlns:c16="http://schemas.microsoft.com/office/drawing/2014/chart" uri="{C3380CC4-5D6E-409C-BE32-E72D297353CC}">
              <c16:uniqueId val="{00000008-449A-4A03-BDBE-CEE287CC28F8}"/>
            </c:ext>
          </c:extLst>
        </c:ser>
        <c:dLbls>
          <c:showLegendKey val="0"/>
          <c:showVal val="0"/>
          <c:showCatName val="0"/>
          <c:showSerName val="0"/>
          <c:showPercent val="0"/>
          <c:showBubbleSize val="0"/>
        </c:dLbls>
        <c:marker val="1"/>
        <c:smooth val="0"/>
        <c:axId val="180495487"/>
        <c:axId val="180496447"/>
      </c:lineChart>
      <c:catAx>
        <c:axId val="18049548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96447"/>
        <c:crosses val="autoZero"/>
        <c:auto val="1"/>
        <c:lblAlgn val="ctr"/>
        <c:lblOffset val="100"/>
        <c:noMultiLvlLbl val="0"/>
      </c:catAx>
      <c:valAx>
        <c:axId val="18049644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0495487"/>
        <c:crosses val="autoZero"/>
        <c:crossBetween val="between"/>
      </c:valAx>
      <c:spPr>
        <a:noFill/>
        <a:ln>
          <a:noFill/>
        </a:ln>
        <a:effectLst/>
      </c:spPr>
    </c:plotArea>
    <c:legend>
      <c:legendPos val="r"/>
      <c:layout>
        <c:manualLayout>
          <c:xMode val="edge"/>
          <c:yMode val="edge"/>
          <c:x val="3.1317366579177601E-2"/>
          <c:y val="5.4394867308253145E-2"/>
          <c:w val="0.96868270582295068"/>
          <c:h val="0.278564683663833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[retail_sales_dataset.csv.xlsx]monthly sales!PivotTable31</c:name>
    <c:fmtId val="6"/>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2"/>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3"/>
            </a:solidFill>
            <a:ln w="952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circle"/>
          <c:size val="5"/>
          <c:spPr>
            <a:solidFill>
              <a:schemeClr val="accent4"/>
            </a:solidFill>
            <a:ln w="952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5"/>
            </a:solidFill>
            <a:ln w="952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6"/>
            </a:solidFill>
            <a:ln w="952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1">
                <a:lumMod val="60000"/>
              </a:schemeClr>
            </a:solidFill>
            <a:ln w="952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circle"/>
          <c:size val="5"/>
          <c:spPr>
            <a:solidFill>
              <a:schemeClr val="accent2">
                <a:lumMod val="60000"/>
              </a:schemeClr>
            </a:solidFill>
            <a:ln w="952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79816316710411184"/>
          <c:h val="0.62871172353455818"/>
        </c:manualLayout>
      </c:layout>
      <c:areaChart>
        <c:grouping val="standard"/>
        <c:varyColors val="0"/>
        <c:ser>
          <c:idx val="0"/>
          <c:order val="0"/>
          <c:tx>
            <c:strRef>
              <c:f>'monthly sales'!$B$3:$B$5</c:f>
              <c:strCache>
                <c:ptCount val="1"/>
                <c:pt idx="0">
                  <c:v>Sum of Total Amount - 1</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sales'!$B$6:$B$18</c:f>
              <c:numCache>
                <c:formatCode>0.00</c:formatCode>
                <c:ptCount val="12"/>
                <c:pt idx="0">
                  <c:v>3330</c:v>
                </c:pt>
                <c:pt idx="1">
                  <c:v>2755</c:v>
                </c:pt>
                <c:pt idx="2">
                  <c:v>4080</c:v>
                </c:pt>
                <c:pt idx="3">
                  <c:v>2710</c:v>
                </c:pt>
                <c:pt idx="4">
                  <c:v>5085</c:v>
                </c:pt>
                <c:pt idx="5">
                  <c:v>3720</c:v>
                </c:pt>
                <c:pt idx="6">
                  <c:v>4715</c:v>
                </c:pt>
                <c:pt idx="7">
                  <c:v>5360</c:v>
                </c:pt>
                <c:pt idx="8">
                  <c:v>2260</c:v>
                </c:pt>
                <c:pt idx="9">
                  <c:v>4055</c:v>
                </c:pt>
                <c:pt idx="10">
                  <c:v>2840</c:v>
                </c:pt>
                <c:pt idx="11">
                  <c:v>3895</c:v>
                </c:pt>
              </c:numCache>
            </c:numRef>
          </c:val>
          <c:extLst>
            <c:ext xmlns:c16="http://schemas.microsoft.com/office/drawing/2014/chart" uri="{C3380CC4-5D6E-409C-BE32-E72D297353CC}">
              <c16:uniqueId val="{00000000-5E33-454D-95D9-C5ABFE8B2419}"/>
            </c:ext>
          </c:extLst>
        </c:ser>
        <c:ser>
          <c:idx val="1"/>
          <c:order val="1"/>
          <c:tx>
            <c:strRef>
              <c:f>'monthly sales'!$C$3:$C$5</c:f>
              <c:strCache>
                <c:ptCount val="1"/>
                <c:pt idx="0">
                  <c:v>Sum of Total Amount - 2</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sales'!$C$6:$C$18</c:f>
              <c:numCache>
                <c:formatCode>0.00</c:formatCode>
                <c:ptCount val="12"/>
                <c:pt idx="0">
                  <c:v>7630</c:v>
                </c:pt>
                <c:pt idx="1">
                  <c:v>7960</c:v>
                </c:pt>
                <c:pt idx="2">
                  <c:v>6060</c:v>
                </c:pt>
                <c:pt idx="3">
                  <c:v>5820</c:v>
                </c:pt>
                <c:pt idx="4">
                  <c:v>12340</c:v>
                </c:pt>
                <c:pt idx="5">
                  <c:v>4660</c:v>
                </c:pt>
                <c:pt idx="6">
                  <c:v>6750</c:v>
                </c:pt>
                <c:pt idx="7">
                  <c:v>5780</c:v>
                </c:pt>
                <c:pt idx="8">
                  <c:v>4860</c:v>
                </c:pt>
                <c:pt idx="9">
                  <c:v>7260</c:v>
                </c:pt>
                <c:pt idx="10">
                  <c:v>1840</c:v>
                </c:pt>
                <c:pt idx="11">
                  <c:v>11090</c:v>
                </c:pt>
              </c:numCache>
            </c:numRef>
          </c:val>
          <c:extLst>
            <c:ext xmlns:c16="http://schemas.microsoft.com/office/drawing/2014/chart" uri="{C3380CC4-5D6E-409C-BE32-E72D297353CC}">
              <c16:uniqueId val="{00000001-5E33-454D-95D9-C5ABFE8B2419}"/>
            </c:ext>
          </c:extLst>
        </c:ser>
        <c:ser>
          <c:idx val="2"/>
          <c:order val="2"/>
          <c:tx>
            <c:strRef>
              <c:f>'monthly sales'!$D$3:$D$5</c:f>
              <c:strCache>
                <c:ptCount val="1"/>
                <c:pt idx="0">
                  <c:v>Sum of Total Amount - 3</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sales'!$D$6:$D$18</c:f>
              <c:numCache>
                <c:formatCode>0.00</c:formatCode>
                <c:ptCount val="12"/>
                <c:pt idx="0">
                  <c:v>11940</c:v>
                </c:pt>
                <c:pt idx="1">
                  <c:v>14205</c:v>
                </c:pt>
                <c:pt idx="2">
                  <c:v>9570</c:v>
                </c:pt>
                <c:pt idx="3">
                  <c:v>9120</c:v>
                </c:pt>
                <c:pt idx="4">
                  <c:v>12825</c:v>
                </c:pt>
                <c:pt idx="5">
                  <c:v>12915</c:v>
                </c:pt>
                <c:pt idx="6">
                  <c:v>14460</c:v>
                </c:pt>
                <c:pt idx="7">
                  <c:v>9819</c:v>
                </c:pt>
                <c:pt idx="8">
                  <c:v>3960</c:v>
                </c:pt>
                <c:pt idx="9">
                  <c:v>11685</c:v>
                </c:pt>
                <c:pt idx="10">
                  <c:v>19680</c:v>
                </c:pt>
                <c:pt idx="11">
                  <c:v>14805</c:v>
                </c:pt>
              </c:numCache>
            </c:numRef>
          </c:val>
          <c:extLst>
            <c:ext xmlns:c16="http://schemas.microsoft.com/office/drawing/2014/chart" uri="{C3380CC4-5D6E-409C-BE32-E72D297353CC}">
              <c16:uniqueId val="{00000085-5E33-454D-95D9-C5ABFE8B2419}"/>
            </c:ext>
          </c:extLst>
        </c:ser>
        <c:ser>
          <c:idx val="3"/>
          <c:order val="3"/>
          <c:tx>
            <c:strRef>
              <c:f>'monthly sales'!$E$3:$E$5</c:f>
              <c:strCache>
                <c:ptCount val="1"/>
                <c:pt idx="0">
                  <c:v>Sum of Total Amount - 4</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sales'!$E$6:$E$18</c:f>
              <c:numCache>
                <c:formatCode>0.00</c:formatCode>
                <c:ptCount val="12"/>
                <c:pt idx="0">
                  <c:v>14080</c:v>
                </c:pt>
                <c:pt idx="1">
                  <c:v>19140</c:v>
                </c:pt>
                <c:pt idx="2">
                  <c:v>9280</c:v>
                </c:pt>
                <c:pt idx="3">
                  <c:v>16419</c:v>
                </c:pt>
                <c:pt idx="4">
                  <c:v>22900</c:v>
                </c:pt>
                <c:pt idx="5">
                  <c:v>15420</c:v>
                </c:pt>
                <c:pt idx="6">
                  <c:v>9540</c:v>
                </c:pt>
                <c:pt idx="7">
                  <c:v>16700</c:v>
                </c:pt>
                <c:pt idx="8">
                  <c:v>13540</c:v>
                </c:pt>
                <c:pt idx="9">
                  <c:v>24349</c:v>
                </c:pt>
                <c:pt idx="10">
                  <c:v>10560</c:v>
                </c:pt>
                <c:pt idx="11">
                  <c:v>14900</c:v>
                </c:pt>
              </c:numCache>
            </c:numRef>
          </c:val>
          <c:extLst>
            <c:ext xmlns:c16="http://schemas.microsoft.com/office/drawing/2014/chart" uri="{C3380CC4-5D6E-409C-BE32-E72D297353CC}">
              <c16:uniqueId val="{00000086-5E33-454D-95D9-C5ABFE8B2419}"/>
            </c:ext>
          </c:extLst>
        </c:ser>
        <c:ser>
          <c:idx val="4"/>
          <c:order val="4"/>
          <c:tx>
            <c:strRef>
              <c:f>'monthly sales'!$F$3:$F$5</c:f>
              <c:strCache>
                <c:ptCount val="1"/>
                <c:pt idx="0">
                  <c:v>Sum of Total Amount - 5</c:v>
                </c:pt>
              </c:strCache>
            </c:strRef>
          </c:tx>
          <c:spPr>
            <a:gradFill>
              <a:gsLst>
                <a:gs pos="100000">
                  <a:schemeClr val="accent5"/>
                </a:gs>
                <a:gs pos="0">
                  <a:schemeClr val="accent5">
                    <a:lumMod val="75000"/>
                  </a:schemeClr>
                </a:gs>
              </a:gsLst>
              <a:lin ang="0" scaled="1"/>
            </a:gradFill>
            <a:ln>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sales'!$F$6:$F$18</c:f>
              <c:numCache>
                <c:formatCode>0.00</c:formatCode>
                <c:ptCount val="12"/>
                <c:pt idx="1">
                  <c:v>899</c:v>
                </c:pt>
                <c:pt idx="7">
                  <c:v>700</c:v>
                </c:pt>
                <c:pt idx="10">
                  <c:v>499</c:v>
                </c:pt>
              </c:numCache>
            </c:numRef>
          </c:val>
          <c:extLst>
            <c:ext xmlns:c16="http://schemas.microsoft.com/office/drawing/2014/chart" uri="{C3380CC4-5D6E-409C-BE32-E72D297353CC}">
              <c16:uniqueId val="{00000087-5E33-454D-95D9-C5ABFE8B2419}"/>
            </c:ext>
          </c:extLst>
        </c:ser>
        <c:ser>
          <c:idx val="5"/>
          <c:order val="5"/>
          <c:tx>
            <c:strRef>
              <c:f>'monthly sales'!$G$3:$G$5</c:f>
              <c:strCache>
                <c:ptCount val="1"/>
                <c:pt idx="0">
                  <c:v>Sum of Total Amount - 6</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sales'!$G$6:$G$18</c:f>
              <c:numCache>
                <c:formatCode>0.00</c:formatCode>
                <c:ptCount val="12"/>
                <c:pt idx="5">
                  <c:v>299</c:v>
                </c:pt>
                <c:pt idx="7">
                  <c:v>799</c:v>
                </c:pt>
              </c:numCache>
            </c:numRef>
          </c:val>
          <c:extLst>
            <c:ext xmlns:c16="http://schemas.microsoft.com/office/drawing/2014/chart" uri="{C3380CC4-5D6E-409C-BE32-E72D297353CC}">
              <c16:uniqueId val="{00000088-5E33-454D-95D9-C5ABFE8B2419}"/>
            </c:ext>
          </c:extLst>
        </c:ser>
        <c:ser>
          <c:idx val="6"/>
          <c:order val="6"/>
          <c:tx>
            <c:strRef>
              <c:f>'monthly sales'!$H$3:$H$5</c:f>
              <c:strCache>
                <c:ptCount val="1"/>
                <c:pt idx="0">
                  <c:v>Sum of Total Amount - 7</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sales'!$H$6:$H$18</c:f>
              <c:numCache>
                <c:formatCode>0.00</c:formatCode>
                <c:ptCount val="12"/>
                <c:pt idx="1">
                  <c:v>699</c:v>
                </c:pt>
                <c:pt idx="2">
                  <c:v>1440</c:v>
                </c:pt>
              </c:numCache>
            </c:numRef>
          </c:val>
          <c:extLst>
            <c:ext xmlns:c16="http://schemas.microsoft.com/office/drawing/2014/chart" uri="{C3380CC4-5D6E-409C-BE32-E72D297353CC}">
              <c16:uniqueId val="{00000089-5E33-454D-95D9-C5ABFE8B2419}"/>
            </c:ext>
          </c:extLst>
        </c:ser>
        <c:ser>
          <c:idx val="7"/>
          <c:order val="7"/>
          <c:tx>
            <c:strRef>
              <c:f>'monthly sales'!$I$3:$I$5</c:f>
              <c:strCache>
                <c:ptCount val="1"/>
                <c:pt idx="0">
                  <c:v>Sum of Total Amount - 8</c:v>
                </c:pt>
              </c:strCache>
            </c:strRef>
          </c:tx>
          <c:spPr>
            <a:gradFill>
              <a:gsLst>
                <a:gs pos="100000">
                  <a:schemeClr val="accent2">
                    <a:lumMod val="60000"/>
                  </a:schemeClr>
                </a:gs>
                <a:gs pos="0">
                  <a:schemeClr val="accent2">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sales'!$I$6:$I$18</c:f>
              <c:numCache>
                <c:formatCode>0.00</c:formatCode>
                <c:ptCount val="12"/>
                <c:pt idx="3">
                  <c:v>899</c:v>
                </c:pt>
                <c:pt idx="4">
                  <c:v>1499</c:v>
                </c:pt>
                <c:pt idx="5">
                  <c:v>599</c:v>
                </c:pt>
                <c:pt idx="11">
                  <c:v>399</c:v>
                </c:pt>
              </c:numCache>
            </c:numRef>
          </c:val>
          <c:extLst>
            <c:ext xmlns:c16="http://schemas.microsoft.com/office/drawing/2014/chart" uri="{C3380CC4-5D6E-409C-BE32-E72D297353CC}">
              <c16:uniqueId val="{0000008A-5E33-454D-95D9-C5ABFE8B2419}"/>
            </c:ext>
          </c:extLst>
        </c:ser>
        <c:ser>
          <c:idx val="8"/>
          <c:order val="8"/>
          <c:tx>
            <c:strRef>
              <c:f>'monthly sales'!$J$3:$J$5</c:f>
              <c:strCache>
                <c:ptCount val="1"/>
                <c:pt idx="0">
                  <c:v>Sum of Price per Unit - 1</c:v>
                </c:pt>
              </c:strCache>
            </c:strRef>
          </c:tx>
          <c:spPr>
            <a:gradFill>
              <a:gsLst>
                <a:gs pos="100000">
                  <a:schemeClr val="accent3">
                    <a:lumMod val="60000"/>
                  </a:schemeClr>
                </a:gs>
                <a:gs pos="0">
                  <a:schemeClr val="accent3">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sales'!$J$6:$J$18</c:f>
              <c:numCache>
                <c:formatCode>0.00</c:formatCode>
                <c:ptCount val="12"/>
                <c:pt idx="0">
                  <c:v>3330</c:v>
                </c:pt>
                <c:pt idx="1">
                  <c:v>2755</c:v>
                </c:pt>
                <c:pt idx="2">
                  <c:v>4080</c:v>
                </c:pt>
                <c:pt idx="3">
                  <c:v>2710</c:v>
                </c:pt>
                <c:pt idx="4">
                  <c:v>5085</c:v>
                </c:pt>
                <c:pt idx="5">
                  <c:v>3720</c:v>
                </c:pt>
                <c:pt idx="6">
                  <c:v>4715</c:v>
                </c:pt>
                <c:pt idx="7">
                  <c:v>5360</c:v>
                </c:pt>
                <c:pt idx="8">
                  <c:v>2260</c:v>
                </c:pt>
                <c:pt idx="9">
                  <c:v>4055</c:v>
                </c:pt>
                <c:pt idx="10">
                  <c:v>2840</c:v>
                </c:pt>
                <c:pt idx="11">
                  <c:v>3895</c:v>
                </c:pt>
              </c:numCache>
            </c:numRef>
          </c:val>
          <c:extLst>
            <c:ext xmlns:c16="http://schemas.microsoft.com/office/drawing/2014/chart" uri="{C3380CC4-5D6E-409C-BE32-E72D297353CC}">
              <c16:uniqueId val="{00000009-CADF-4C43-ABD0-771BEFA659D7}"/>
            </c:ext>
          </c:extLst>
        </c:ser>
        <c:ser>
          <c:idx val="9"/>
          <c:order val="9"/>
          <c:tx>
            <c:strRef>
              <c:f>'monthly sales'!$K$3:$K$5</c:f>
              <c:strCache>
                <c:ptCount val="1"/>
                <c:pt idx="0">
                  <c:v>Sum of Price per Unit - 2</c:v>
                </c:pt>
              </c:strCache>
            </c:strRef>
          </c:tx>
          <c:spPr>
            <a:gradFill>
              <a:gsLst>
                <a:gs pos="100000">
                  <a:schemeClr val="accent4">
                    <a:lumMod val="60000"/>
                  </a:schemeClr>
                </a:gs>
                <a:gs pos="0">
                  <a:schemeClr val="accent4">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sales'!$K$6:$K$18</c:f>
              <c:numCache>
                <c:formatCode>0.00</c:formatCode>
                <c:ptCount val="12"/>
                <c:pt idx="0">
                  <c:v>3815</c:v>
                </c:pt>
                <c:pt idx="1">
                  <c:v>3980</c:v>
                </c:pt>
                <c:pt idx="2">
                  <c:v>3030</c:v>
                </c:pt>
                <c:pt idx="3">
                  <c:v>2910</c:v>
                </c:pt>
                <c:pt idx="4">
                  <c:v>6170</c:v>
                </c:pt>
                <c:pt idx="5">
                  <c:v>2330</c:v>
                </c:pt>
                <c:pt idx="6">
                  <c:v>3375</c:v>
                </c:pt>
                <c:pt idx="7">
                  <c:v>2890</c:v>
                </c:pt>
                <c:pt idx="8">
                  <c:v>2019</c:v>
                </c:pt>
                <c:pt idx="9">
                  <c:v>3630</c:v>
                </c:pt>
                <c:pt idx="10">
                  <c:v>920</c:v>
                </c:pt>
                <c:pt idx="11">
                  <c:v>5545</c:v>
                </c:pt>
              </c:numCache>
            </c:numRef>
          </c:val>
          <c:extLst>
            <c:ext xmlns:c16="http://schemas.microsoft.com/office/drawing/2014/chart" uri="{C3380CC4-5D6E-409C-BE32-E72D297353CC}">
              <c16:uniqueId val="{0000000A-CADF-4C43-ABD0-771BEFA659D7}"/>
            </c:ext>
          </c:extLst>
        </c:ser>
        <c:ser>
          <c:idx val="10"/>
          <c:order val="10"/>
          <c:tx>
            <c:strRef>
              <c:f>'monthly sales'!$L$3:$L$5</c:f>
              <c:strCache>
                <c:ptCount val="1"/>
                <c:pt idx="0">
                  <c:v>Sum of Price per Unit - 3</c:v>
                </c:pt>
              </c:strCache>
            </c:strRef>
          </c:tx>
          <c:spPr>
            <a:gradFill>
              <a:gsLst>
                <a:gs pos="100000">
                  <a:schemeClr val="accent5">
                    <a:lumMod val="60000"/>
                  </a:schemeClr>
                </a:gs>
                <a:gs pos="0">
                  <a:schemeClr val="accent5">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sales'!$L$6:$L$18</c:f>
              <c:numCache>
                <c:formatCode>0.00</c:formatCode>
                <c:ptCount val="12"/>
                <c:pt idx="0">
                  <c:v>3980</c:v>
                </c:pt>
                <c:pt idx="1">
                  <c:v>4735</c:v>
                </c:pt>
                <c:pt idx="2">
                  <c:v>3190</c:v>
                </c:pt>
                <c:pt idx="3">
                  <c:v>3040</c:v>
                </c:pt>
                <c:pt idx="4">
                  <c:v>4275</c:v>
                </c:pt>
                <c:pt idx="5">
                  <c:v>4305</c:v>
                </c:pt>
                <c:pt idx="6">
                  <c:v>4820</c:v>
                </c:pt>
                <c:pt idx="7">
                  <c:v>3109</c:v>
                </c:pt>
                <c:pt idx="8">
                  <c:v>1320</c:v>
                </c:pt>
                <c:pt idx="9">
                  <c:v>3895</c:v>
                </c:pt>
                <c:pt idx="10">
                  <c:v>6560</c:v>
                </c:pt>
                <c:pt idx="11">
                  <c:v>4935</c:v>
                </c:pt>
              </c:numCache>
            </c:numRef>
          </c:val>
          <c:extLst>
            <c:ext xmlns:c16="http://schemas.microsoft.com/office/drawing/2014/chart" uri="{C3380CC4-5D6E-409C-BE32-E72D297353CC}">
              <c16:uniqueId val="{0000000B-CADF-4C43-ABD0-771BEFA659D7}"/>
            </c:ext>
          </c:extLst>
        </c:ser>
        <c:ser>
          <c:idx val="11"/>
          <c:order val="11"/>
          <c:tx>
            <c:strRef>
              <c:f>'monthly sales'!$M$3:$M$5</c:f>
              <c:strCache>
                <c:ptCount val="1"/>
                <c:pt idx="0">
                  <c:v>Sum of Price per Unit - 4</c:v>
                </c:pt>
              </c:strCache>
            </c:strRef>
          </c:tx>
          <c:spPr>
            <a:gradFill>
              <a:gsLst>
                <a:gs pos="100000">
                  <a:schemeClr val="accent6">
                    <a:lumMod val="60000"/>
                  </a:schemeClr>
                </a:gs>
                <a:gs pos="0">
                  <a:schemeClr val="accent6">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sales'!$M$6:$M$18</c:f>
              <c:numCache>
                <c:formatCode>0.00</c:formatCode>
                <c:ptCount val="12"/>
                <c:pt idx="0">
                  <c:v>3520</c:v>
                </c:pt>
                <c:pt idx="1">
                  <c:v>4785</c:v>
                </c:pt>
                <c:pt idx="2">
                  <c:v>2320</c:v>
                </c:pt>
                <c:pt idx="3">
                  <c:v>4654</c:v>
                </c:pt>
                <c:pt idx="4">
                  <c:v>5725</c:v>
                </c:pt>
                <c:pt idx="5">
                  <c:v>3855</c:v>
                </c:pt>
                <c:pt idx="6">
                  <c:v>2385</c:v>
                </c:pt>
                <c:pt idx="7">
                  <c:v>4175</c:v>
                </c:pt>
                <c:pt idx="8">
                  <c:v>3385</c:v>
                </c:pt>
                <c:pt idx="9">
                  <c:v>6245</c:v>
                </c:pt>
                <c:pt idx="10">
                  <c:v>2640</c:v>
                </c:pt>
                <c:pt idx="11">
                  <c:v>3725</c:v>
                </c:pt>
              </c:numCache>
            </c:numRef>
          </c:val>
          <c:extLst>
            <c:ext xmlns:c16="http://schemas.microsoft.com/office/drawing/2014/chart" uri="{C3380CC4-5D6E-409C-BE32-E72D297353CC}">
              <c16:uniqueId val="{0000000C-CADF-4C43-ABD0-771BEFA659D7}"/>
            </c:ext>
          </c:extLst>
        </c:ser>
        <c:ser>
          <c:idx val="12"/>
          <c:order val="12"/>
          <c:tx>
            <c:strRef>
              <c:f>'monthly sales'!$N$3:$N$5</c:f>
              <c:strCache>
                <c:ptCount val="1"/>
                <c:pt idx="0">
                  <c:v>Sum of Price per Unit - 5</c:v>
                </c:pt>
              </c:strCache>
            </c:strRef>
          </c:tx>
          <c:spPr>
            <a:gradFill>
              <a:gsLst>
                <a:gs pos="100000">
                  <a:schemeClr val="accent1">
                    <a:lumMod val="80000"/>
                    <a:lumOff val="20000"/>
                  </a:schemeClr>
                </a:gs>
                <a:gs pos="0">
                  <a:schemeClr val="accent1">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sales'!$N$6:$N$18</c:f>
              <c:numCache>
                <c:formatCode>0.00</c:formatCode>
                <c:ptCount val="12"/>
                <c:pt idx="1">
                  <c:v>645</c:v>
                </c:pt>
                <c:pt idx="7">
                  <c:v>600</c:v>
                </c:pt>
                <c:pt idx="10">
                  <c:v>30</c:v>
                </c:pt>
              </c:numCache>
            </c:numRef>
          </c:val>
          <c:extLst>
            <c:ext xmlns:c16="http://schemas.microsoft.com/office/drawing/2014/chart" uri="{C3380CC4-5D6E-409C-BE32-E72D297353CC}">
              <c16:uniqueId val="{0000000D-CADF-4C43-ABD0-771BEFA659D7}"/>
            </c:ext>
          </c:extLst>
        </c:ser>
        <c:ser>
          <c:idx val="13"/>
          <c:order val="13"/>
          <c:tx>
            <c:strRef>
              <c:f>'monthly sales'!$O$3:$O$5</c:f>
              <c:strCache>
                <c:ptCount val="1"/>
                <c:pt idx="0">
                  <c:v>Sum of Price per Unit - 6</c:v>
                </c:pt>
              </c:strCache>
            </c:strRef>
          </c:tx>
          <c:spPr>
            <a:gradFill>
              <a:gsLst>
                <a:gs pos="100000">
                  <a:schemeClr val="accent2">
                    <a:lumMod val="80000"/>
                    <a:lumOff val="20000"/>
                  </a:schemeClr>
                </a:gs>
                <a:gs pos="0">
                  <a:schemeClr val="accent2">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sales'!$O$6:$O$18</c:f>
              <c:numCache>
                <c:formatCode>0.00</c:formatCode>
                <c:ptCount val="12"/>
                <c:pt idx="5">
                  <c:v>98</c:v>
                </c:pt>
                <c:pt idx="7">
                  <c:v>78</c:v>
                </c:pt>
              </c:numCache>
            </c:numRef>
          </c:val>
          <c:extLst>
            <c:ext xmlns:c16="http://schemas.microsoft.com/office/drawing/2014/chart" uri="{C3380CC4-5D6E-409C-BE32-E72D297353CC}">
              <c16:uniqueId val="{0000000E-CADF-4C43-ABD0-771BEFA659D7}"/>
            </c:ext>
          </c:extLst>
        </c:ser>
        <c:ser>
          <c:idx val="14"/>
          <c:order val="14"/>
          <c:tx>
            <c:strRef>
              <c:f>'monthly sales'!$P$3:$P$5</c:f>
              <c:strCache>
                <c:ptCount val="1"/>
                <c:pt idx="0">
                  <c:v>Sum of Price per Unit - 7</c:v>
                </c:pt>
              </c:strCache>
            </c:strRef>
          </c:tx>
          <c:spPr>
            <a:gradFill>
              <a:gsLst>
                <a:gs pos="100000">
                  <a:schemeClr val="accent3">
                    <a:lumMod val="80000"/>
                    <a:lumOff val="20000"/>
                  </a:schemeClr>
                </a:gs>
                <a:gs pos="0">
                  <a:schemeClr val="accent3">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sales'!$P$6:$P$18</c:f>
              <c:numCache>
                <c:formatCode>0.00</c:formatCode>
                <c:ptCount val="12"/>
                <c:pt idx="1">
                  <c:v>65</c:v>
                </c:pt>
                <c:pt idx="2">
                  <c:v>700</c:v>
                </c:pt>
              </c:numCache>
            </c:numRef>
          </c:val>
          <c:extLst>
            <c:ext xmlns:c16="http://schemas.microsoft.com/office/drawing/2014/chart" uri="{C3380CC4-5D6E-409C-BE32-E72D297353CC}">
              <c16:uniqueId val="{0000000F-CADF-4C43-ABD0-771BEFA659D7}"/>
            </c:ext>
          </c:extLst>
        </c:ser>
        <c:ser>
          <c:idx val="15"/>
          <c:order val="15"/>
          <c:tx>
            <c:strRef>
              <c:f>'monthly sales'!$Q$3:$Q$5</c:f>
              <c:strCache>
                <c:ptCount val="1"/>
                <c:pt idx="0">
                  <c:v>Sum of Price per Unit - 8</c:v>
                </c:pt>
              </c:strCache>
            </c:strRef>
          </c:tx>
          <c:spPr>
            <a:gradFill>
              <a:gsLst>
                <a:gs pos="100000">
                  <a:schemeClr val="accent4">
                    <a:lumMod val="80000"/>
                    <a:lumOff val="20000"/>
                  </a:schemeClr>
                </a:gs>
                <a:gs pos="0">
                  <a:schemeClr val="accent4">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sales'!$Q$6:$Q$18</c:f>
              <c:numCache>
                <c:formatCode>0.00</c:formatCode>
                <c:ptCount val="12"/>
                <c:pt idx="3">
                  <c:v>65</c:v>
                </c:pt>
                <c:pt idx="4">
                  <c:v>250</c:v>
                </c:pt>
                <c:pt idx="5">
                  <c:v>50</c:v>
                </c:pt>
                <c:pt idx="11">
                  <c:v>200</c:v>
                </c:pt>
              </c:numCache>
            </c:numRef>
          </c:val>
          <c:extLst>
            <c:ext xmlns:c16="http://schemas.microsoft.com/office/drawing/2014/chart" uri="{C3380CC4-5D6E-409C-BE32-E72D297353CC}">
              <c16:uniqueId val="{00000010-CADF-4C43-ABD0-771BEFA659D7}"/>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0514127"/>
        <c:axId val="170534287"/>
      </c:areaChart>
      <c:catAx>
        <c:axId val="1705141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mn-lt"/>
                <a:ea typeface="+mn-ea"/>
                <a:cs typeface="+mn-cs"/>
              </a:defRPr>
            </a:pPr>
            <a:endParaRPr lang="en-US"/>
          </a:p>
        </c:txPr>
        <c:crossAx val="170534287"/>
        <c:crosses val="autoZero"/>
        <c:auto val="1"/>
        <c:lblAlgn val="ctr"/>
        <c:lblOffset val="100"/>
        <c:noMultiLvlLbl val="0"/>
      </c:catAx>
      <c:valAx>
        <c:axId val="170534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70514127"/>
        <c:crosses val="autoZero"/>
        <c:crossBetween val="midCat"/>
      </c:valAx>
      <c:spPr>
        <a:noFill/>
        <a:ln>
          <a:noFill/>
        </a:ln>
        <a:effectLst/>
      </c:spPr>
    </c:plotArea>
    <c:legend>
      <c:legendPos val="r"/>
      <c:layout>
        <c:manualLayout>
          <c:xMode val="edge"/>
          <c:yMode val="edge"/>
          <c:x val="7.7605205599300092E-2"/>
          <c:y val="1.1572044261512766E-2"/>
          <c:w val="0.83628368328958869"/>
          <c:h val="0.230238159150560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0555511546972124E-2"/>
          <c:y val="0.31628352490421463"/>
          <c:w val="0.95230279313677335"/>
          <c:h val="0.53764292394485169"/>
        </c:manualLayout>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041-4410-801A-5D05B7D0B908}"/>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041-4410-801A-5D05B7D0B908}"/>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041-4410-801A-5D05B7D0B908}"/>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041-4410-801A-5D05B7D0B908}"/>
              </c:ext>
            </c:extLst>
          </c:dPt>
          <c:dPt>
            <c:idx val="4"/>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041-4410-801A-5D05B7D0B908}"/>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1-E041-4410-801A-5D05B7D0B908}"/>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3-E041-4410-801A-5D05B7D0B908}"/>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5-E041-4410-801A-5D05B7D0B908}"/>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7-E041-4410-801A-5D05B7D0B908}"/>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extLst>
                <c:ext xmlns:c16="http://schemas.microsoft.com/office/drawing/2014/chart" uri="{C3380CC4-5D6E-409C-BE32-E72D297353CC}">
                  <c16:uniqueId val="{00000009-E041-4410-801A-5D05B7D0B908}"/>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rgbClr val="002060"/>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customers'!$D$4:$D$8</c:f>
              <c:strCache>
                <c:ptCount val="5"/>
                <c:pt idx="0">
                  <c:v>CUST664</c:v>
                </c:pt>
                <c:pt idx="1">
                  <c:v>CUST690</c:v>
                </c:pt>
                <c:pt idx="2">
                  <c:v>CUST656</c:v>
                </c:pt>
                <c:pt idx="3">
                  <c:v>CUST660</c:v>
                </c:pt>
                <c:pt idx="4">
                  <c:v>CUST662</c:v>
                </c:pt>
              </c:strCache>
            </c:strRef>
          </c:cat>
          <c:val>
            <c:numRef>
              <c:f>'top customers'!$E$4:$E$8</c:f>
              <c:numCache>
                <c:formatCode>0</c:formatCode>
                <c:ptCount val="5"/>
                <c:pt idx="0">
                  <c:v>12</c:v>
                </c:pt>
                <c:pt idx="1">
                  <c:v>10</c:v>
                </c:pt>
                <c:pt idx="2">
                  <c:v>10</c:v>
                </c:pt>
                <c:pt idx="3">
                  <c:v>10</c:v>
                </c:pt>
                <c:pt idx="4">
                  <c:v>10</c:v>
                </c:pt>
              </c:numCache>
            </c:numRef>
          </c:val>
          <c:extLst>
            <c:ext xmlns:c16="http://schemas.microsoft.com/office/drawing/2014/chart" uri="{C3380CC4-5D6E-409C-BE32-E72D297353CC}">
              <c16:uniqueId val="{0000000A-E041-4410-801A-5D05B7D0B908}"/>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[retail_sales_dataset.csv.xlsx]monthly sales!PivotTable31</c:name>
    <c:fmtId val="2"/>
  </c:pivotSource>
  <c:chart>
    <c:autoTitleDeleted val="0"/>
    <c:pivotFmts>
      <c:pivotFmt>
        <c:idx val="0"/>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621981627296587"/>
          <c:y val="0.2638888888888889"/>
          <c:w val="0.79816316710411184"/>
          <c:h val="0.62871172353455818"/>
        </c:manualLayout>
      </c:layout>
      <c:areaChart>
        <c:grouping val="standard"/>
        <c:varyColors val="0"/>
        <c:ser>
          <c:idx val="0"/>
          <c:order val="0"/>
          <c:tx>
            <c:strRef>
              <c:f>'monthly sales'!$B$3:$B$5</c:f>
              <c:strCache>
                <c:ptCount val="1"/>
                <c:pt idx="0">
                  <c:v>Sum of Total Amount - 1</c:v>
                </c:pt>
              </c:strCache>
            </c:strRef>
          </c:tx>
          <c:spPr>
            <a:gradFill>
              <a:gsLst>
                <a:gs pos="100000">
                  <a:schemeClr val="accent1"/>
                </a:gs>
                <a:gs pos="0">
                  <a:schemeClr val="accent1">
                    <a:lumMod val="75000"/>
                  </a:schemeClr>
                </a:gs>
              </a:gsLst>
              <a:lin ang="0" scaled="1"/>
            </a:gradFill>
            <a:ln>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sales'!$B$6:$B$18</c:f>
              <c:numCache>
                <c:formatCode>0.00</c:formatCode>
                <c:ptCount val="12"/>
                <c:pt idx="0">
                  <c:v>3330</c:v>
                </c:pt>
                <c:pt idx="1">
                  <c:v>2755</c:v>
                </c:pt>
                <c:pt idx="2">
                  <c:v>4080</c:v>
                </c:pt>
                <c:pt idx="3">
                  <c:v>2710</c:v>
                </c:pt>
                <c:pt idx="4">
                  <c:v>5085</c:v>
                </c:pt>
                <c:pt idx="5">
                  <c:v>3720</c:v>
                </c:pt>
                <c:pt idx="6">
                  <c:v>4715</c:v>
                </c:pt>
                <c:pt idx="7">
                  <c:v>5360</c:v>
                </c:pt>
                <c:pt idx="8">
                  <c:v>2260</c:v>
                </c:pt>
                <c:pt idx="9">
                  <c:v>4055</c:v>
                </c:pt>
                <c:pt idx="10">
                  <c:v>2840</c:v>
                </c:pt>
                <c:pt idx="11">
                  <c:v>3895</c:v>
                </c:pt>
              </c:numCache>
            </c:numRef>
          </c:val>
          <c:extLst>
            <c:ext xmlns:c16="http://schemas.microsoft.com/office/drawing/2014/chart" uri="{C3380CC4-5D6E-409C-BE32-E72D297353CC}">
              <c16:uniqueId val="{00000000-014C-4B69-AFEE-3B061762D287}"/>
            </c:ext>
          </c:extLst>
        </c:ser>
        <c:ser>
          <c:idx val="1"/>
          <c:order val="1"/>
          <c:tx>
            <c:strRef>
              <c:f>'monthly sales'!$C$3:$C$5</c:f>
              <c:strCache>
                <c:ptCount val="1"/>
                <c:pt idx="0">
                  <c:v>Sum of Total Amount - 2</c:v>
                </c:pt>
              </c:strCache>
            </c:strRef>
          </c:tx>
          <c:spPr>
            <a:gradFill>
              <a:gsLst>
                <a:gs pos="100000">
                  <a:schemeClr val="accent2"/>
                </a:gs>
                <a:gs pos="0">
                  <a:schemeClr val="accent2">
                    <a:lumMod val="75000"/>
                  </a:schemeClr>
                </a:gs>
              </a:gsLst>
              <a:lin ang="0" scaled="1"/>
            </a:gradFill>
            <a:ln>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sales'!$C$6:$C$18</c:f>
              <c:numCache>
                <c:formatCode>0.00</c:formatCode>
                <c:ptCount val="12"/>
                <c:pt idx="0">
                  <c:v>7630</c:v>
                </c:pt>
                <c:pt idx="1">
                  <c:v>7960</c:v>
                </c:pt>
                <c:pt idx="2">
                  <c:v>6060</c:v>
                </c:pt>
                <c:pt idx="3">
                  <c:v>5820</c:v>
                </c:pt>
                <c:pt idx="4">
                  <c:v>12340</c:v>
                </c:pt>
                <c:pt idx="5">
                  <c:v>4660</c:v>
                </c:pt>
                <c:pt idx="6">
                  <c:v>6750</c:v>
                </c:pt>
                <c:pt idx="7">
                  <c:v>5780</c:v>
                </c:pt>
                <c:pt idx="8">
                  <c:v>4860</c:v>
                </c:pt>
                <c:pt idx="9">
                  <c:v>7260</c:v>
                </c:pt>
                <c:pt idx="10">
                  <c:v>1840</c:v>
                </c:pt>
                <c:pt idx="11">
                  <c:v>11090</c:v>
                </c:pt>
              </c:numCache>
            </c:numRef>
          </c:val>
          <c:extLst>
            <c:ext xmlns:c16="http://schemas.microsoft.com/office/drawing/2014/chart" uri="{C3380CC4-5D6E-409C-BE32-E72D297353CC}">
              <c16:uniqueId val="{00000001-014C-4B69-AFEE-3B061762D287}"/>
            </c:ext>
          </c:extLst>
        </c:ser>
        <c:ser>
          <c:idx val="2"/>
          <c:order val="2"/>
          <c:tx>
            <c:strRef>
              <c:f>'monthly sales'!$D$3:$D$5</c:f>
              <c:strCache>
                <c:ptCount val="1"/>
                <c:pt idx="0">
                  <c:v>Sum of Total Amount - 3</c:v>
                </c:pt>
              </c:strCache>
            </c:strRef>
          </c:tx>
          <c:spPr>
            <a:gradFill>
              <a:gsLst>
                <a:gs pos="100000">
                  <a:schemeClr val="accent3"/>
                </a:gs>
                <a:gs pos="0">
                  <a:schemeClr val="accent3">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sales'!$D$6:$D$18</c:f>
              <c:numCache>
                <c:formatCode>0.00</c:formatCode>
                <c:ptCount val="12"/>
                <c:pt idx="0">
                  <c:v>11940</c:v>
                </c:pt>
                <c:pt idx="1">
                  <c:v>14205</c:v>
                </c:pt>
                <c:pt idx="2">
                  <c:v>9570</c:v>
                </c:pt>
                <c:pt idx="3">
                  <c:v>9120</c:v>
                </c:pt>
                <c:pt idx="4">
                  <c:v>12825</c:v>
                </c:pt>
                <c:pt idx="5">
                  <c:v>12915</c:v>
                </c:pt>
                <c:pt idx="6">
                  <c:v>14460</c:v>
                </c:pt>
                <c:pt idx="7">
                  <c:v>9819</c:v>
                </c:pt>
                <c:pt idx="8">
                  <c:v>3960</c:v>
                </c:pt>
                <c:pt idx="9">
                  <c:v>11685</c:v>
                </c:pt>
                <c:pt idx="10">
                  <c:v>19680</c:v>
                </c:pt>
                <c:pt idx="11">
                  <c:v>14805</c:v>
                </c:pt>
              </c:numCache>
            </c:numRef>
          </c:val>
          <c:extLst>
            <c:ext xmlns:c16="http://schemas.microsoft.com/office/drawing/2014/chart" uri="{C3380CC4-5D6E-409C-BE32-E72D297353CC}">
              <c16:uniqueId val="{00000095-014C-4B69-AFEE-3B061762D287}"/>
            </c:ext>
          </c:extLst>
        </c:ser>
        <c:ser>
          <c:idx val="3"/>
          <c:order val="3"/>
          <c:tx>
            <c:strRef>
              <c:f>'monthly sales'!$E$3:$E$5</c:f>
              <c:strCache>
                <c:ptCount val="1"/>
                <c:pt idx="0">
                  <c:v>Sum of Total Amount - 4</c:v>
                </c:pt>
              </c:strCache>
            </c:strRef>
          </c:tx>
          <c:spPr>
            <a:gradFill>
              <a:gsLst>
                <a:gs pos="100000">
                  <a:schemeClr val="accent4"/>
                </a:gs>
                <a:gs pos="0">
                  <a:schemeClr val="accent4">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sales'!$E$6:$E$18</c:f>
              <c:numCache>
                <c:formatCode>0.00</c:formatCode>
                <c:ptCount val="12"/>
                <c:pt idx="0">
                  <c:v>14080</c:v>
                </c:pt>
                <c:pt idx="1">
                  <c:v>19140</c:v>
                </c:pt>
                <c:pt idx="2">
                  <c:v>9280</c:v>
                </c:pt>
                <c:pt idx="3">
                  <c:v>16419</c:v>
                </c:pt>
                <c:pt idx="4">
                  <c:v>22900</c:v>
                </c:pt>
                <c:pt idx="5">
                  <c:v>15420</c:v>
                </c:pt>
                <c:pt idx="6">
                  <c:v>9540</c:v>
                </c:pt>
                <c:pt idx="7">
                  <c:v>16700</c:v>
                </c:pt>
                <c:pt idx="8">
                  <c:v>13540</c:v>
                </c:pt>
                <c:pt idx="9">
                  <c:v>24349</c:v>
                </c:pt>
                <c:pt idx="10">
                  <c:v>10560</c:v>
                </c:pt>
                <c:pt idx="11">
                  <c:v>14900</c:v>
                </c:pt>
              </c:numCache>
            </c:numRef>
          </c:val>
          <c:extLst>
            <c:ext xmlns:c16="http://schemas.microsoft.com/office/drawing/2014/chart" uri="{C3380CC4-5D6E-409C-BE32-E72D297353CC}">
              <c16:uniqueId val="{00000096-014C-4B69-AFEE-3B061762D287}"/>
            </c:ext>
          </c:extLst>
        </c:ser>
        <c:ser>
          <c:idx val="4"/>
          <c:order val="4"/>
          <c:tx>
            <c:strRef>
              <c:f>'monthly sales'!$F$3:$F$5</c:f>
              <c:strCache>
                <c:ptCount val="1"/>
                <c:pt idx="0">
                  <c:v>Sum of Total Amount - 5</c:v>
                </c:pt>
              </c:strCache>
            </c:strRef>
          </c:tx>
          <c:spPr>
            <a:gradFill>
              <a:gsLst>
                <a:gs pos="100000">
                  <a:schemeClr val="accent5"/>
                </a:gs>
                <a:gs pos="0">
                  <a:schemeClr val="accent5">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sales'!$F$6:$F$18</c:f>
              <c:numCache>
                <c:formatCode>0.00</c:formatCode>
                <c:ptCount val="12"/>
                <c:pt idx="1">
                  <c:v>899</c:v>
                </c:pt>
                <c:pt idx="7">
                  <c:v>700</c:v>
                </c:pt>
                <c:pt idx="10">
                  <c:v>499</c:v>
                </c:pt>
              </c:numCache>
            </c:numRef>
          </c:val>
          <c:extLst>
            <c:ext xmlns:c16="http://schemas.microsoft.com/office/drawing/2014/chart" uri="{C3380CC4-5D6E-409C-BE32-E72D297353CC}">
              <c16:uniqueId val="{00000097-014C-4B69-AFEE-3B061762D287}"/>
            </c:ext>
          </c:extLst>
        </c:ser>
        <c:ser>
          <c:idx val="5"/>
          <c:order val="5"/>
          <c:tx>
            <c:strRef>
              <c:f>'monthly sales'!$G$3:$G$5</c:f>
              <c:strCache>
                <c:ptCount val="1"/>
                <c:pt idx="0">
                  <c:v>Sum of Total Amount - 6</c:v>
                </c:pt>
              </c:strCache>
            </c:strRef>
          </c:tx>
          <c:spPr>
            <a:gradFill>
              <a:gsLst>
                <a:gs pos="100000">
                  <a:schemeClr val="accent6"/>
                </a:gs>
                <a:gs pos="0">
                  <a:schemeClr val="accent6">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sales'!$G$6:$G$18</c:f>
              <c:numCache>
                <c:formatCode>0.00</c:formatCode>
                <c:ptCount val="12"/>
                <c:pt idx="5">
                  <c:v>299</c:v>
                </c:pt>
                <c:pt idx="7">
                  <c:v>799</c:v>
                </c:pt>
              </c:numCache>
            </c:numRef>
          </c:val>
          <c:extLst>
            <c:ext xmlns:c16="http://schemas.microsoft.com/office/drawing/2014/chart" uri="{C3380CC4-5D6E-409C-BE32-E72D297353CC}">
              <c16:uniqueId val="{00000098-014C-4B69-AFEE-3B061762D287}"/>
            </c:ext>
          </c:extLst>
        </c:ser>
        <c:ser>
          <c:idx val="6"/>
          <c:order val="6"/>
          <c:tx>
            <c:strRef>
              <c:f>'monthly sales'!$H$3:$H$5</c:f>
              <c:strCache>
                <c:ptCount val="1"/>
                <c:pt idx="0">
                  <c:v>Sum of Total Amount - 7</c:v>
                </c:pt>
              </c:strCache>
            </c:strRef>
          </c:tx>
          <c:spPr>
            <a:gradFill>
              <a:gsLst>
                <a:gs pos="100000">
                  <a:schemeClr val="accent1">
                    <a:lumMod val="60000"/>
                  </a:schemeClr>
                </a:gs>
                <a:gs pos="0">
                  <a:schemeClr val="accent1">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sales'!$H$6:$H$18</c:f>
              <c:numCache>
                <c:formatCode>0.00</c:formatCode>
                <c:ptCount val="12"/>
                <c:pt idx="1">
                  <c:v>699</c:v>
                </c:pt>
                <c:pt idx="2">
                  <c:v>1440</c:v>
                </c:pt>
              </c:numCache>
            </c:numRef>
          </c:val>
          <c:extLst>
            <c:ext xmlns:c16="http://schemas.microsoft.com/office/drawing/2014/chart" uri="{C3380CC4-5D6E-409C-BE32-E72D297353CC}">
              <c16:uniqueId val="{00000099-014C-4B69-AFEE-3B061762D287}"/>
            </c:ext>
          </c:extLst>
        </c:ser>
        <c:ser>
          <c:idx val="7"/>
          <c:order val="7"/>
          <c:tx>
            <c:strRef>
              <c:f>'monthly sales'!$I$3:$I$5</c:f>
              <c:strCache>
                <c:ptCount val="1"/>
                <c:pt idx="0">
                  <c:v>Sum of Total Amount - 8</c:v>
                </c:pt>
              </c:strCache>
            </c:strRef>
          </c:tx>
          <c:spPr>
            <a:gradFill>
              <a:gsLst>
                <a:gs pos="100000">
                  <a:schemeClr val="accent2">
                    <a:lumMod val="60000"/>
                  </a:schemeClr>
                </a:gs>
                <a:gs pos="0">
                  <a:schemeClr val="accent2">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sales'!$I$6:$I$18</c:f>
              <c:numCache>
                <c:formatCode>0.00</c:formatCode>
                <c:ptCount val="12"/>
                <c:pt idx="3">
                  <c:v>899</c:v>
                </c:pt>
                <c:pt idx="4">
                  <c:v>1499</c:v>
                </c:pt>
                <c:pt idx="5">
                  <c:v>599</c:v>
                </c:pt>
                <c:pt idx="11">
                  <c:v>399</c:v>
                </c:pt>
              </c:numCache>
            </c:numRef>
          </c:val>
          <c:extLst>
            <c:ext xmlns:c16="http://schemas.microsoft.com/office/drawing/2014/chart" uri="{C3380CC4-5D6E-409C-BE32-E72D297353CC}">
              <c16:uniqueId val="{0000009A-014C-4B69-AFEE-3B061762D287}"/>
            </c:ext>
          </c:extLst>
        </c:ser>
        <c:ser>
          <c:idx val="8"/>
          <c:order val="8"/>
          <c:tx>
            <c:strRef>
              <c:f>'monthly sales'!$J$3:$J$5</c:f>
              <c:strCache>
                <c:ptCount val="1"/>
                <c:pt idx="0">
                  <c:v>Sum of Price per Unit - 1</c:v>
                </c:pt>
              </c:strCache>
            </c:strRef>
          </c:tx>
          <c:spPr>
            <a:gradFill>
              <a:gsLst>
                <a:gs pos="100000">
                  <a:schemeClr val="accent3">
                    <a:lumMod val="60000"/>
                  </a:schemeClr>
                </a:gs>
                <a:gs pos="0">
                  <a:schemeClr val="accent3">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sales'!$J$6:$J$18</c:f>
              <c:numCache>
                <c:formatCode>0.00</c:formatCode>
                <c:ptCount val="12"/>
                <c:pt idx="0">
                  <c:v>3330</c:v>
                </c:pt>
                <c:pt idx="1">
                  <c:v>2755</c:v>
                </c:pt>
                <c:pt idx="2">
                  <c:v>4080</c:v>
                </c:pt>
                <c:pt idx="3">
                  <c:v>2710</c:v>
                </c:pt>
                <c:pt idx="4">
                  <c:v>5085</c:v>
                </c:pt>
                <c:pt idx="5">
                  <c:v>3720</c:v>
                </c:pt>
                <c:pt idx="6">
                  <c:v>4715</c:v>
                </c:pt>
                <c:pt idx="7">
                  <c:v>5360</c:v>
                </c:pt>
                <c:pt idx="8">
                  <c:v>2260</c:v>
                </c:pt>
                <c:pt idx="9">
                  <c:v>4055</c:v>
                </c:pt>
                <c:pt idx="10">
                  <c:v>2840</c:v>
                </c:pt>
                <c:pt idx="11">
                  <c:v>3895</c:v>
                </c:pt>
              </c:numCache>
            </c:numRef>
          </c:val>
          <c:extLst>
            <c:ext xmlns:c16="http://schemas.microsoft.com/office/drawing/2014/chart" uri="{C3380CC4-5D6E-409C-BE32-E72D297353CC}">
              <c16:uniqueId val="{00000008-8EDF-4C16-A5EB-A98523055BEB}"/>
            </c:ext>
          </c:extLst>
        </c:ser>
        <c:ser>
          <c:idx val="9"/>
          <c:order val="9"/>
          <c:tx>
            <c:strRef>
              <c:f>'monthly sales'!$K$3:$K$5</c:f>
              <c:strCache>
                <c:ptCount val="1"/>
                <c:pt idx="0">
                  <c:v>Sum of Price per Unit - 2</c:v>
                </c:pt>
              </c:strCache>
            </c:strRef>
          </c:tx>
          <c:spPr>
            <a:gradFill>
              <a:gsLst>
                <a:gs pos="100000">
                  <a:schemeClr val="accent4">
                    <a:lumMod val="60000"/>
                  </a:schemeClr>
                </a:gs>
                <a:gs pos="0">
                  <a:schemeClr val="accent4">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sales'!$K$6:$K$18</c:f>
              <c:numCache>
                <c:formatCode>0.00</c:formatCode>
                <c:ptCount val="12"/>
                <c:pt idx="0">
                  <c:v>3815</c:v>
                </c:pt>
                <c:pt idx="1">
                  <c:v>3980</c:v>
                </c:pt>
                <c:pt idx="2">
                  <c:v>3030</c:v>
                </c:pt>
                <c:pt idx="3">
                  <c:v>2910</c:v>
                </c:pt>
                <c:pt idx="4">
                  <c:v>6170</c:v>
                </c:pt>
                <c:pt idx="5">
                  <c:v>2330</c:v>
                </c:pt>
                <c:pt idx="6">
                  <c:v>3375</c:v>
                </c:pt>
                <c:pt idx="7">
                  <c:v>2890</c:v>
                </c:pt>
                <c:pt idx="8">
                  <c:v>2019</c:v>
                </c:pt>
                <c:pt idx="9">
                  <c:v>3630</c:v>
                </c:pt>
                <c:pt idx="10">
                  <c:v>920</c:v>
                </c:pt>
                <c:pt idx="11">
                  <c:v>5545</c:v>
                </c:pt>
              </c:numCache>
            </c:numRef>
          </c:val>
          <c:extLst>
            <c:ext xmlns:c16="http://schemas.microsoft.com/office/drawing/2014/chart" uri="{C3380CC4-5D6E-409C-BE32-E72D297353CC}">
              <c16:uniqueId val="{00000009-8EDF-4C16-A5EB-A98523055BEB}"/>
            </c:ext>
          </c:extLst>
        </c:ser>
        <c:ser>
          <c:idx val="10"/>
          <c:order val="10"/>
          <c:tx>
            <c:strRef>
              <c:f>'monthly sales'!$L$3:$L$5</c:f>
              <c:strCache>
                <c:ptCount val="1"/>
                <c:pt idx="0">
                  <c:v>Sum of Price per Unit - 3</c:v>
                </c:pt>
              </c:strCache>
            </c:strRef>
          </c:tx>
          <c:spPr>
            <a:gradFill>
              <a:gsLst>
                <a:gs pos="100000">
                  <a:schemeClr val="accent5">
                    <a:lumMod val="60000"/>
                  </a:schemeClr>
                </a:gs>
                <a:gs pos="0">
                  <a:schemeClr val="accent5">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sales'!$L$6:$L$18</c:f>
              <c:numCache>
                <c:formatCode>0.00</c:formatCode>
                <c:ptCount val="12"/>
                <c:pt idx="0">
                  <c:v>3980</c:v>
                </c:pt>
                <c:pt idx="1">
                  <c:v>4735</c:v>
                </c:pt>
                <c:pt idx="2">
                  <c:v>3190</c:v>
                </c:pt>
                <c:pt idx="3">
                  <c:v>3040</c:v>
                </c:pt>
                <c:pt idx="4">
                  <c:v>4275</c:v>
                </c:pt>
                <c:pt idx="5">
                  <c:v>4305</c:v>
                </c:pt>
                <c:pt idx="6">
                  <c:v>4820</c:v>
                </c:pt>
                <c:pt idx="7">
                  <c:v>3109</c:v>
                </c:pt>
                <c:pt idx="8">
                  <c:v>1320</c:v>
                </c:pt>
                <c:pt idx="9">
                  <c:v>3895</c:v>
                </c:pt>
                <c:pt idx="10">
                  <c:v>6560</c:v>
                </c:pt>
                <c:pt idx="11">
                  <c:v>4935</c:v>
                </c:pt>
              </c:numCache>
            </c:numRef>
          </c:val>
          <c:extLst>
            <c:ext xmlns:c16="http://schemas.microsoft.com/office/drawing/2014/chart" uri="{C3380CC4-5D6E-409C-BE32-E72D297353CC}">
              <c16:uniqueId val="{0000000A-8EDF-4C16-A5EB-A98523055BEB}"/>
            </c:ext>
          </c:extLst>
        </c:ser>
        <c:ser>
          <c:idx val="11"/>
          <c:order val="11"/>
          <c:tx>
            <c:strRef>
              <c:f>'monthly sales'!$M$3:$M$5</c:f>
              <c:strCache>
                <c:ptCount val="1"/>
                <c:pt idx="0">
                  <c:v>Sum of Price per Unit - 4</c:v>
                </c:pt>
              </c:strCache>
            </c:strRef>
          </c:tx>
          <c:spPr>
            <a:gradFill>
              <a:gsLst>
                <a:gs pos="100000">
                  <a:schemeClr val="accent6">
                    <a:lumMod val="60000"/>
                  </a:schemeClr>
                </a:gs>
                <a:gs pos="0">
                  <a:schemeClr val="accent6">
                    <a:lumMod val="6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sales'!$M$6:$M$18</c:f>
              <c:numCache>
                <c:formatCode>0.00</c:formatCode>
                <c:ptCount val="12"/>
                <c:pt idx="0">
                  <c:v>3520</c:v>
                </c:pt>
                <c:pt idx="1">
                  <c:v>4785</c:v>
                </c:pt>
                <c:pt idx="2">
                  <c:v>2320</c:v>
                </c:pt>
                <c:pt idx="3">
                  <c:v>4654</c:v>
                </c:pt>
                <c:pt idx="4">
                  <c:v>5725</c:v>
                </c:pt>
                <c:pt idx="5">
                  <c:v>3855</c:v>
                </c:pt>
                <c:pt idx="6">
                  <c:v>2385</c:v>
                </c:pt>
                <c:pt idx="7">
                  <c:v>4175</c:v>
                </c:pt>
                <c:pt idx="8">
                  <c:v>3385</c:v>
                </c:pt>
                <c:pt idx="9">
                  <c:v>6245</c:v>
                </c:pt>
                <c:pt idx="10">
                  <c:v>2640</c:v>
                </c:pt>
                <c:pt idx="11">
                  <c:v>3725</c:v>
                </c:pt>
              </c:numCache>
            </c:numRef>
          </c:val>
          <c:extLst>
            <c:ext xmlns:c16="http://schemas.microsoft.com/office/drawing/2014/chart" uri="{C3380CC4-5D6E-409C-BE32-E72D297353CC}">
              <c16:uniqueId val="{0000000B-8EDF-4C16-A5EB-A98523055BEB}"/>
            </c:ext>
          </c:extLst>
        </c:ser>
        <c:ser>
          <c:idx val="12"/>
          <c:order val="12"/>
          <c:tx>
            <c:strRef>
              <c:f>'monthly sales'!$N$3:$N$5</c:f>
              <c:strCache>
                <c:ptCount val="1"/>
                <c:pt idx="0">
                  <c:v>Sum of Price per Unit - 5</c:v>
                </c:pt>
              </c:strCache>
            </c:strRef>
          </c:tx>
          <c:spPr>
            <a:gradFill>
              <a:gsLst>
                <a:gs pos="100000">
                  <a:schemeClr val="accent1">
                    <a:lumMod val="80000"/>
                    <a:lumOff val="20000"/>
                  </a:schemeClr>
                </a:gs>
                <a:gs pos="0">
                  <a:schemeClr val="accent1">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sales'!$N$6:$N$18</c:f>
              <c:numCache>
                <c:formatCode>0.00</c:formatCode>
                <c:ptCount val="12"/>
                <c:pt idx="1">
                  <c:v>645</c:v>
                </c:pt>
                <c:pt idx="7">
                  <c:v>600</c:v>
                </c:pt>
                <c:pt idx="10">
                  <c:v>30</c:v>
                </c:pt>
              </c:numCache>
            </c:numRef>
          </c:val>
          <c:extLst>
            <c:ext xmlns:c16="http://schemas.microsoft.com/office/drawing/2014/chart" uri="{C3380CC4-5D6E-409C-BE32-E72D297353CC}">
              <c16:uniqueId val="{0000000C-8EDF-4C16-A5EB-A98523055BEB}"/>
            </c:ext>
          </c:extLst>
        </c:ser>
        <c:ser>
          <c:idx val="13"/>
          <c:order val="13"/>
          <c:tx>
            <c:strRef>
              <c:f>'monthly sales'!$O$3:$O$5</c:f>
              <c:strCache>
                <c:ptCount val="1"/>
                <c:pt idx="0">
                  <c:v>Sum of Price per Unit - 6</c:v>
                </c:pt>
              </c:strCache>
            </c:strRef>
          </c:tx>
          <c:spPr>
            <a:gradFill>
              <a:gsLst>
                <a:gs pos="100000">
                  <a:schemeClr val="accent2">
                    <a:lumMod val="80000"/>
                    <a:lumOff val="20000"/>
                  </a:schemeClr>
                </a:gs>
                <a:gs pos="0">
                  <a:schemeClr val="accent2">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sales'!$O$6:$O$18</c:f>
              <c:numCache>
                <c:formatCode>0.00</c:formatCode>
                <c:ptCount val="12"/>
                <c:pt idx="5">
                  <c:v>98</c:v>
                </c:pt>
                <c:pt idx="7">
                  <c:v>78</c:v>
                </c:pt>
              </c:numCache>
            </c:numRef>
          </c:val>
          <c:extLst>
            <c:ext xmlns:c16="http://schemas.microsoft.com/office/drawing/2014/chart" uri="{C3380CC4-5D6E-409C-BE32-E72D297353CC}">
              <c16:uniqueId val="{0000000D-8EDF-4C16-A5EB-A98523055BEB}"/>
            </c:ext>
          </c:extLst>
        </c:ser>
        <c:ser>
          <c:idx val="14"/>
          <c:order val="14"/>
          <c:tx>
            <c:strRef>
              <c:f>'monthly sales'!$P$3:$P$5</c:f>
              <c:strCache>
                <c:ptCount val="1"/>
                <c:pt idx="0">
                  <c:v>Sum of Price per Unit - 7</c:v>
                </c:pt>
              </c:strCache>
            </c:strRef>
          </c:tx>
          <c:spPr>
            <a:gradFill>
              <a:gsLst>
                <a:gs pos="100000">
                  <a:schemeClr val="accent3">
                    <a:lumMod val="80000"/>
                    <a:lumOff val="20000"/>
                  </a:schemeClr>
                </a:gs>
                <a:gs pos="0">
                  <a:schemeClr val="accent3">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sales'!$P$6:$P$18</c:f>
              <c:numCache>
                <c:formatCode>0.00</c:formatCode>
                <c:ptCount val="12"/>
                <c:pt idx="1">
                  <c:v>65</c:v>
                </c:pt>
                <c:pt idx="2">
                  <c:v>700</c:v>
                </c:pt>
              </c:numCache>
            </c:numRef>
          </c:val>
          <c:extLst>
            <c:ext xmlns:c16="http://schemas.microsoft.com/office/drawing/2014/chart" uri="{C3380CC4-5D6E-409C-BE32-E72D297353CC}">
              <c16:uniqueId val="{0000000E-8EDF-4C16-A5EB-A98523055BEB}"/>
            </c:ext>
          </c:extLst>
        </c:ser>
        <c:ser>
          <c:idx val="15"/>
          <c:order val="15"/>
          <c:tx>
            <c:strRef>
              <c:f>'monthly sales'!$Q$3:$Q$5</c:f>
              <c:strCache>
                <c:ptCount val="1"/>
                <c:pt idx="0">
                  <c:v>Sum of Price per Unit - 8</c:v>
                </c:pt>
              </c:strCache>
            </c:strRef>
          </c:tx>
          <c:spPr>
            <a:gradFill>
              <a:gsLst>
                <a:gs pos="100000">
                  <a:schemeClr val="accent4">
                    <a:lumMod val="80000"/>
                    <a:lumOff val="20000"/>
                  </a:schemeClr>
                </a:gs>
                <a:gs pos="0">
                  <a:schemeClr val="accent4">
                    <a:lumMod val="80000"/>
                    <a:lumOff val="20000"/>
                    <a:lumMod val="75000"/>
                  </a:schemeClr>
                </a:gs>
              </a:gsLst>
              <a:lin ang="0" scaled="1"/>
            </a:gradFill>
            <a:ln w="25400">
              <a:noFill/>
            </a:ln>
            <a:effectLst>
              <a:innerShdw dist="12700" dir="16200000">
                <a:schemeClr val="lt1">
                  <a:alpha val="75000"/>
                </a:schemeClr>
              </a:innerShdw>
            </a:effectLst>
          </c:spPr>
          <c:cat>
            <c:strRef>
              <c:f>'monthly sales'!$A$6:$A$18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sales'!$Q$6:$Q$18</c:f>
              <c:numCache>
                <c:formatCode>0.00</c:formatCode>
                <c:ptCount val="12"/>
                <c:pt idx="3">
                  <c:v>65</c:v>
                </c:pt>
                <c:pt idx="4">
                  <c:v>250</c:v>
                </c:pt>
                <c:pt idx="5">
                  <c:v>50</c:v>
                </c:pt>
                <c:pt idx="11">
                  <c:v>200</c:v>
                </c:pt>
              </c:numCache>
            </c:numRef>
          </c:val>
          <c:extLst>
            <c:ext xmlns:c16="http://schemas.microsoft.com/office/drawing/2014/chart" uri="{C3380CC4-5D6E-409C-BE32-E72D297353CC}">
              <c16:uniqueId val="{0000000F-8EDF-4C16-A5EB-A98523055BEB}"/>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70514127"/>
        <c:axId val="170534287"/>
      </c:areaChart>
      <c:catAx>
        <c:axId val="17051412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70534287"/>
        <c:crosses val="autoZero"/>
        <c:auto val="1"/>
        <c:lblAlgn val="ctr"/>
        <c:lblOffset val="100"/>
        <c:noMultiLvlLbl val="0"/>
      </c:catAx>
      <c:valAx>
        <c:axId val="1705342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514127"/>
        <c:crosses val="autoZero"/>
        <c:crossBetween val="midCat"/>
      </c:valAx>
      <c:spPr>
        <a:noFill/>
        <a:ln>
          <a:noFill/>
        </a:ln>
        <a:effectLst/>
      </c:spPr>
    </c:plotArea>
    <c:legend>
      <c:legendPos val="r"/>
      <c:layout>
        <c:manualLayout>
          <c:xMode val="edge"/>
          <c:yMode val="edge"/>
          <c:x val="2.2049650043744533E-2"/>
          <c:y val="1.1571886847477396E-2"/>
          <c:w val="0.95850590551181103"/>
          <c:h val="0.199078448527267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u="sng">
                <a:solidFill>
                  <a:schemeClr val="accent1">
                    <a:lumMod val="50000"/>
                  </a:schemeClr>
                </a:solidFill>
              </a:rPr>
              <a:t>TOP CUSTOMERS</a:t>
            </a:r>
          </a:p>
        </c:rich>
      </c:tx>
      <c:layout>
        <c:manualLayout>
          <c:xMode val="edge"/>
          <c:yMode val="edge"/>
          <c:x val="0.31349300087489063"/>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2A66-4906-908A-4C2DFED2A25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2A66-4906-908A-4C2DFED2A25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2A66-4906-908A-4C2DFED2A25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2A66-4906-908A-4C2DFED2A25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2A66-4906-908A-4C2DFED2A250}"/>
              </c:ext>
            </c:extLst>
          </c:dPt>
          <c:cat>
            <c:strRef>
              <c:f>'top customers'!$D$4:$D$8</c:f>
              <c:strCache>
                <c:ptCount val="5"/>
                <c:pt idx="0">
                  <c:v>CUST664</c:v>
                </c:pt>
                <c:pt idx="1">
                  <c:v>CUST690</c:v>
                </c:pt>
                <c:pt idx="2">
                  <c:v>CUST656</c:v>
                </c:pt>
                <c:pt idx="3">
                  <c:v>CUST660</c:v>
                </c:pt>
                <c:pt idx="4">
                  <c:v>CUST662</c:v>
                </c:pt>
              </c:strCache>
            </c:strRef>
          </c:cat>
          <c:val>
            <c:numRef>
              <c:f>'top customers'!$E$4:$E$8</c:f>
              <c:numCache>
                <c:formatCode>0</c:formatCode>
                <c:ptCount val="5"/>
                <c:pt idx="0">
                  <c:v>12</c:v>
                </c:pt>
                <c:pt idx="1">
                  <c:v>10</c:v>
                </c:pt>
                <c:pt idx="2">
                  <c:v>10</c:v>
                </c:pt>
                <c:pt idx="3">
                  <c:v>10</c:v>
                </c:pt>
                <c:pt idx="4">
                  <c:v>10</c:v>
                </c:pt>
              </c:numCache>
            </c:numRef>
          </c:val>
          <c:extLst>
            <c:ext xmlns:c16="http://schemas.microsoft.com/office/drawing/2014/chart" uri="{C3380CC4-5D6E-409C-BE32-E72D297353CC}">
              <c16:uniqueId val="{00000000-B4B5-43A5-AA2E-888BE0ECDA66}"/>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1829B4A7-56D5-4C43-8531-783A17013271}">
          <cx:data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0" value="1"/>
          </cx:dataLabels>
          <cx:dataId val="0"/>
        </cx:series>
      </cx:plotAreaRegion>
      <cx:axis id="0">
        <cx:catScaling gapWidth="0.5"/>
        <cx:tickLabels/>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2">
  <a:schemeClr val="accent2"/>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7</xdr:row>
      <xdr:rowOff>106680</xdr:rowOff>
    </xdr:from>
    <xdr:to>
      <xdr:col>7</xdr:col>
      <xdr:colOff>350520</xdr:colOff>
      <xdr:row>27</xdr:row>
      <xdr:rowOff>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367441A-7871-89E2-5E50-9C71A5B699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0" y="1386840"/>
              <a:ext cx="6675120" cy="35509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220980</xdr:colOff>
      <xdr:row>7</xdr:row>
      <xdr:rowOff>34290</xdr:rowOff>
    </xdr:from>
    <xdr:to>
      <xdr:col>8</xdr:col>
      <xdr:colOff>259080</xdr:colOff>
      <xdr:row>22</xdr:row>
      <xdr:rowOff>34290</xdr:rowOff>
    </xdr:to>
    <xdr:graphicFrame macro="">
      <xdr:nvGraphicFramePr>
        <xdr:cNvPr id="3" name="Chart 2">
          <a:extLst>
            <a:ext uri="{FF2B5EF4-FFF2-40B4-BE49-F238E27FC236}">
              <a16:creationId xmlns:a16="http://schemas.microsoft.com/office/drawing/2014/main" id="{F73F5FE8-5DDE-E64B-7840-78C3E2C8BE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327660</xdr:colOff>
      <xdr:row>0</xdr:row>
      <xdr:rowOff>106680</xdr:rowOff>
    </xdr:from>
    <xdr:to>
      <xdr:col>22</xdr:col>
      <xdr:colOff>335280</xdr:colOff>
      <xdr:row>4</xdr:row>
      <xdr:rowOff>144780</xdr:rowOff>
    </xdr:to>
    <xdr:sp macro="" textlink="">
      <xdr:nvSpPr>
        <xdr:cNvPr id="2" name="Rectangle: Rounded Corners 1">
          <a:extLst>
            <a:ext uri="{FF2B5EF4-FFF2-40B4-BE49-F238E27FC236}">
              <a16:creationId xmlns:a16="http://schemas.microsoft.com/office/drawing/2014/main" id="{38F805ED-CBB1-0EB5-FD85-58D8A0C21A77}"/>
            </a:ext>
          </a:extLst>
        </xdr:cNvPr>
        <xdr:cNvSpPr/>
      </xdr:nvSpPr>
      <xdr:spPr>
        <a:xfrm>
          <a:off x="327660" y="106680"/>
          <a:ext cx="13418820" cy="7696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125426</xdr:colOff>
      <xdr:row>1</xdr:row>
      <xdr:rowOff>30295</xdr:rowOff>
    </xdr:from>
    <xdr:ext cx="3806494" cy="593304"/>
    <xdr:sp macro="" textlink="">
      <xdr:nvSpPr>
        <xdr:cNvPr id="3" name="Rectangle 2">
          <a:extLst>
            <a:ext uri="{FF2B5EF4-FFF2-40B4-BE49-F238E27FC236}">
              <a16:creationId xmlns:a16="http://schemas.microsoft.com/office/drawing/2014/main" id="{0E6CB2FD-9EBF-3FFA-0D3A-6AB3C36B30FC}"/>
            </a:ext>
          </a:extLst>
        </xdr:cNvPr>
        <xdr:cNvSpPr/>
      </xdr:nvSpPr>
      <xdr:spPr>
        <a:xfrm>
          <a:off x="735026" y="213175"/>
          <a:ext cx="3806494" cy="593304"/>
        </a:xfrm>
        <a:prstGeom prst="rect">
          <a:avLst/>
        </a:prstGeom>
        <a:noFill/>
      </xdr:spPr>
      <xdr:txBody>
        <a:bodyPr wrap="squar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3200" b="1" u="sng" cap="none" spc="0">
              <a:ln/>
              <a:solidFill>
                <a:srgbClr val="FFC000"/>
              </a:solidFill>
              <a:effectLst/>
            </a:rPr>
            <a:t>SALES DASHBOARD</a:t>
          </a:r>
        </a:p>
      </xdr:txBody>
    </xdr:sp>
    <xdr:clientData/>
  </xdr:oneCellAnchor>
  <xdr:twoCellAnchor editAs="oneCell">
    <xdr:from>
      <xdr:col>0</xdr:col>
      <xdr:colOff>396240</xdr:colOff>
      <xdr:row>1</xdr:row>
      <xdr:rowOff>45720</xdr:rowOff>
    </xdr:from>
    <xdr:to>
      <xdr:col>1</xdr:col>
      <xdr:colOff>327660</xdr:colOff>
      <xdr:row>4</xdr:row>
      <xdr:rowOff>38100</xdr:rowOff>
    </xdr:to>
    <xdr:pic>
      <xdr:nvPicPr>
        <xdr:cNvPr id="5" name="Graphic 4" descr="Bar graph with upward trend with solid fill">
          <a:extLst>
            <a:ext uri="{FF2B5EF4-FFF2-40B4-BE49-F238E27FC236}">
              <a16:creationId xmlns:a16="http://schemas.microsoft.com/office/drawing/2014/main" id="{E07E42D4-F682-695E-F910-E03ADCAC91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96240" y="228600"/>
          <a:ext cx="541020" cy="541020"/>
        </a:xfrm>
        <a:prstGeom prst="rect">
          <a:avLst/>
        </a:prstGeom>
        <a:effectLst/>
      </xdr:spPr>
    </xdr:pic>
    <xdr:clientData/>
  </xdr:twoCellAnchor>
  <xdr:twoCellAnchor editAs="oneCell">
    <xdr:from>
      <xdr:col>15</xdr:col>
      <xdr:colOff>312420</xdr:colOff>
      <xdr:row>0</xdr:row>
      <xdr:rowOff>160021</xdr:rowOff>
    </xdr:from>
    <xdr:to>
      <xdr:col>21</xdr:col>
      <xdr:colOff>342900</xdr:colOff>
      <xdr:row>4</xdr:row>
      <xdr:rowOff>38100</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9B7CB56D-B201-43D4-A516-87A095C3AA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456420" y="160021"/>
              <a:ext cx="368808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388620</xdr:colOff>
      <xdr:row>0</xdr:row>
      <xdr:rowOff>152401</xdr:rowOff>
    </xdr:from>
    <xdr:to>
      <xdr:col>14</xdr:col>
      <xdr:colOff>579120</xdr:colOff>
      <xdr:row>4</xdr:row>
      <xdr:rowOff>30480</xdr:rowOff>
    </xdr:to>
    <mc:AlternateContent xmlns:mc="http://schemas.openxmlformats.org/markup-compatibility/2006" xmlns:a14="http://schemas.microsoft.com/office/drawing/2010/main">
      <mc:Choice Requires="a14">
        <xdr:graphicFrame macro="">
          <xdr:nvGraphicFramePr>
            <xdr:cNvPr id="7" name="Product Category">
              <a:extLst>
                <a:ext uri="{FF2B5EF4-FFF2-40B4-BE49-F238E27FC236}">
                  <a16:creationId xmlns:a16="http://schemas.microsoft.com/office/drawing/2014/main" id="{97ED40F6-7BB1-4E55-AFEE-CED7C1326519}"/>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5265420" y="152401"/>
              <a:ext cx="3848100" cy="6095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365760</xdr:colOff>
      <xdr:row>5</xdr:row>
      <xdr:rowOff>0</xdr:rowOff>
    </xdr:from>
    <xdr:to>
      <xdr:col>5</xdr:col>
      <xdr:colOff>304800</xdr:colOff>
      <xdr:row>32</xdr:row>
      <xdr:rowOff>175260</xdr:rowOff>
    </xdr:to>
    <xdr:sp macro="" textlink="">
      <xdr:nvSpPr>
        <xdr:cNvPr id="9" name="Rectangle: Rounded Corners 8">
          <a:extLst>
            <a:ext uri="{FF2B5EF4-FFF2-40B4-BE49-F238E27FC236}">
              <a16:creationId xmlns:a16="http://schemas.microsoft.com/office/drawing/2014/main" id="{D2AC4416-CE8A-4C75-F00D-15374EC310B9}"/>
            </a:ext>
          </a:extLst>
        </xdr:cNvPr>
        <xdr:cNvSpPr/>
      </xdr:nvSpPr>
      <xdr:spPr>
        <a:xfrm>
          <a:off x="365760" y="914400"/>
          <a:ext cx="2987040" cy="511302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434340</xdr:colOff>
      <xdr:row>5</xdr:row>
      <xdr:rowOff>0</xdr:rowOff>
    </xdr:from>
    <xdr:to>
      <xdr:col>22</xdr:col>
      <xdr:colOff>480060</xdr:colOff>
      <xdr:row>33</xdr:row>
      <xdr:rowOff>91440</xdr:rowOff>
    </xdr:to>
    <xdr:sp macro="" textlink="">
      <xdr:nvSpPr>
        <xdr:cNvPr id="10" name="Rectangle: Rounded Corners 9">
          <a:extLst>
            <a:ext uri="{FF2B5EF4-FFF2-40B4-BE49-F238E27FC236}">
              <a16:creationId xmlns:a16="http://schemas.microsoft.com/office/drawing/2014/main" id="{F4781182-67EA-BA54-EC9A-AB88EDA4B385}"/>
            </a:ext>
          </a:extLst>
        </xdr:cNvPr>
        <xdr:cNvSpPr/>
      </xdr:nvSpPr>
      <xdr:spPr>
        <a:xfrm>
          <a:off x="3482340" y="914400"/>
          <a:ext cx="10408920" cy="5212080"/>
        </a:xfrm>
        <a:prstGeom prst="roundRect">
          <a:avLst/>
        </a:prstGeom>
        <a:solidFill>
          <a:schemeClr val="accent6"/>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594360</xdr:colOff>
      <xdr:row>7</xdr:row>
      <xdr:rowOff>129540</xdr:rowOff>
    </xdr:from>
    <xdr:to>
      <xdr:col>5</xdr:col>
      <xdr:colOff>91440</xdr:colOff>
      <xdr:row>30</xdr:row>
      <xdr:rowOff>160020</xdr:rowOff>
    </xdr:to>
    <xdr:graphicFrame macro="">
      <xdr:nvGraphicFramePr>
        <xdr:cNvPr id="14" name="Chart 13">
          <a:extLst>
            <a:ext uri="{FF2B5EF4-FFF2-40B4-BE49-F238E27FC236}">
              <a16:creationId xmlns:a16="http://schemas.microsoft.com/office/drawing/2014/main" id="{A1FB977E-1416-4A70-BCB1-C24EF089E1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251460</xdr:colOff>
      <xdr:row>6</xdr:row>
      <xdr:rowOff>160020</xdr:rowOff>
    </xdr:from>
    <xdr:to>
      <xdr:col>13</xdr:col>
      <xdr:colOff>381000</xdr:colOff>
      <xdr:row>21</xdr:row>
      <xdr:rowOff>106680</xdr:rowOff>
    </xdr:to>
    <xdr:graphicFrame macro="">
      <xdr:nvGraphicFramePr>
        <xdr:cNvPr id="17" name="Chart 16">
          <a:extLst>
            <a:ext uri="{FF2B5EF4-FFF2-40B4-BE49-F238E27FC236}">
              <a16:creationId xmlns:a16="http://schemas.microsoft.com/office/drawing/2014/main" id="{3F3AE9B0-FF5C-412F-AE27-77DF3FC436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426720</xdr:colOff>
      <xdr:row>6</xdr:row>
      <xdr:rowOff>160020</xdr:rowOff>
    </xdr:from>
    <xdr:to>
      <xdr:col>22</xdr:col>
      <xdr:colOff>121920</xdr:colOff>
      <xdr:row>21</xdr:row>
      <xdr:rowOff>99060</xdr:rowOff>
    </xdr:to>
    <xdr:graphicFrame macro="">
      <xdr:nvGraphicFramePr>
        <xdr:cNvPr id="18" name="Chart 17">
          <a:extLst>
            <a:ext uri="{FF2B5EF4-FFF2-40B4-BE49-F238E27FC236}">
              <a16:creationId xmlns:a16="http://schemas.microsoft.com/office/drawing/2014/main" id="{94C7E17E-0F68-4A7D-B1BE-7F29A84181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16</xdr:col>
      <xdr:colOff>431797</xdr:colOff>
      <xdr:row>4</xdr:row>
      <xdr:rowOff>159835</xdr:rowOff>
    </xdr:from>
    <xdr:ext cx="1971052" cy="405432"/>
    <xdr:sp macro="" textlink="">
      <xdr:nvSpPr>
        <xdr:cNvPr id="22" name="Rectangle 21">
          <a:extLst>
            <a:ext uri="{FF2B5EF4-FFF2-40B4-BE49-F238E27FC236}">
              <a16:creationId xmlns:a16="http://schemas.microsoft.com/office/drawing/2014/main" id="{99F7D9C5-E69C-5F60-83AA-240F050F8D79}"/>
            </a:ext>
          </a:extLst>
        </xdr:cNvPr>
        <xdr:cNvSpPr/>
      </xdr:nvSpPr>
      <xdr:spPr>
        <a:xfrm>
          <a:off x="10185397" y="891355"/>
          <a:ext cx="1971052" cy="405432"/>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000" b="1" u="sng" cap="none" spc="0">
              <a:ln/>
              <a:solidFill>
                <a:srgbClr val="FFFF00"/>
              </a:solidFill>
              <a:effectLst/>
            </a:rPr>
            <a:t>MONTHLY</a:t>
          </a:r>
          <a:r>
            <a:rPr lang="en-US" sz="2000" b="1" u="sng" cap="none" spc="0" baseline="0">
              <a:ln/>
              <a:solidFill>
                <a:srgbClr val="FFFF00"/>
              </a:solidFill>
              <a:effectLst/>
            </a:rPr>
            <a:t> SALES</a:t>
          </a:r>
          <a:endParaRPr lang="en-US" sz="2000" b="1" u="sng" cap="none" spc="0">
            <a:ln/>
            <a:solidFill>
              <a:srgbClr val="FFFF00"/>
            </a:solidFill>
            <a:effectLst/>
          </a:endParaRPr>
        </a:p>
      </xdr:txBody>
    </xdr:sp>
    <xdr:clientData/>
  </xdr:oneCellAnchor>
  <xdr:oneCellAnchor>
    <xdr:from>
      <xdr:col>8</xdr:col>
      <xdr:colOff>322384</xdr:colOff>
      <xdr:row>4</xdr:row>
      <xdr:rowOff>160020</xdr:rowOff>
    </xdr:from>
    <xdr:ext cx="2077916" cy="443532"/>
    <xdr:sp macro="" textlink="">
      <xdr:nvSpPr>
        <xdr:cNvPr id="25" name="Rectangle 24">
          <a:extLst>
            <a:ext uri="{FF2B5EF4-FFF2-40B4-BE49-F238E27FC236}">
              <a16:creationId xmlns:a16="http://schemas.microsoft.com/office/drawing/2014/main" id="{013BB3D1-D980-A675-3A70-4CA719EE34AE}"/>
            </a:ext>
          </a:extLst>
        </xdr:cNvPr>
        <xdr:cNvSpPr/>
      </xdr:nvSpPr>
      <xdr:spPr>
        <a:xfrm>
          <a:off x="5199184" y="891540"/>
          <a:ext cx="2077916" cy="443532"/>
        </a:xfrm>
        <a:prstGeom prst="rect">
          <a:avLst/>
        </a:prstGeom>
        <a:noFill/>
      </xdr:spPr>
      <xdr:txBody>
        <a:bodyPr wrap="square" lIns="91440" tIns="45720" rIns="91440" bIns="45720">
          <a:noAutofit/>
          <a:scene3d>
            <a:camera prst="orthographicFront"/>
            <a:lightRig rig="harsh" dir="t"/>
          </a:scene3d>
          <a:sp3d extrusionH="57150" prstMaterial="matte">
            <a:bevelT w="63500" h="12700" prst="angle"/>
            <a:contourClr>
              <a:schemeClr val="bg1">
                <a:lumMod val="65000"/>
              </a:schemeClr>
            </a:contourClr>
          </a:sp3d>
        </a:bodyPr>
        <a:lstStyle/>
        <a:p>
          <a:pPr algn="ctr"/>
          <a:r>
            <a:rPr lang="en-IN" sz="2000" b="1" u="sng" cap="none" spc="0">
              <a:ln/>
              <a:solidFill>
                <a:srgbClr val="FFFF00"/>
              </a:solidFill>
              <a:effectLst/>
            </a:rPr>
            <a:t>PROFIT GAINED</a:t>
          </a:r>
          <a:endParaRPr lang="en-IN" sz="2000" b="1" cap="none" spc="0">
            <a:ln/>
            <a:solidFill>
              <a:srgbClr val="FFFF00"/>
            </a:solidFill>
            <a:effectLst/>
          </a:endParaRPr>
        </a:p>
      </xdr:txBody>
    </xdr:sp>
    <xdr:clientData/>
  </xdr:oneCellAnchor>
  <xdr:oneCellAnchor>
    <xdr:from>
      <xdr:col>0</xdr:col>
      <xdr:colOff>598754</xdr:colOff>
      <xdr:row>5</xdr:row>
      <xdr:rowOff>53155</xdr:rowOff>
    </xdr:from>
    <xdr:ext cx="2548262" cy="405432"/>
    <xdr:sp macro="" textlink="">
      <xdr:nvSpPr>
        <xdr:cNvPr id="26" name="Rectangle 25">
          <a:extLst>
            <a:ext uri="{FF2B5EF4-FFF2-40B4-BE49-F238E27FC236}">
              <a16:creationId xmlns:a16="http://schemas.microsoft.com/office/drawing/2014/main" id="{5FF6DB02-EE2F-CE20-71A2-A4A14F670564}"/>
            </a:ext>
          </a:extLst>
        </xdr:cNvPr>
        <xdr:cNvSpPr/>
      </xdr:nvSpPr>
      <xdr:spPr>
        <a:xfrm>
          <a:off x="598754" y="967555"/>
          <a:ext cx="2548262" cy="405432"/>
        </a:xfrm>
        <a:prstGeom prst="rect">
          <a:avLst/>
        </a:prstGeom>
        <a:noFill/>
      </xdr:spPr>
      <xdr:txBody>
        <a:bodyPr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a:p>
          <a:pPr algn="ctr"/>
          <a:r>
            <a:rPr lang="en-US" sz="2000" b="1" u="sng" cap="none" spc="0">
              <a:ln/>
              <a:solidFill>
                <a:srgbClr val="FFFF00"/>
              </a:solidFill>
              <a:effectLst/>
            </a:rPr>
            <a:t>SALES BY CATEGORIES</a:t>
          </a:r>
        </a:p>
      </xdr:txBody>
    </xdr:sp>
    <xdr:clientData/>
  </xdr:oneCellAnchor>
  <xdr:twoCellAnchor>
    <xdr:from>
      <xdr:col>10</xdr:col>
      <xdr:colOff>586740</xdr:colOff>
      <xdr:row>22</xdr:row>
      <xdr:rowOff>45720</xdr:rowOff>
    </xdr:from>
    <xdr:to>
      <xdr:col>17</xdr:col>
      <xdr:colOff>106680</xdr:colOff>
      <xdr:row>33</xdr:row>
      <xdr:rowOff>22860</xdr:rowOff>
    </xdr:to>
    <xdr:graphicFrame macro="">
      <xdr:nvGraphicFramePr>
        <xdr:cNvPr id="28" name="Chart 27">
          <a:extLst>
            <a:ext uri="{FF2B5EF4-FFF2-40B4-BE49-F238E27FC236}">
              <a16:creationId xmlns:a16="http://schemas.microsoft.com/office/drawing/2014/main" id="{DE7D55C7-31BE-4B71-8F78-A569B3F6FB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0.24548</cdr:x>
      <cdr:y>0</cdr:y>
    </cdr:from>
    <cdr:to>
      <cdr:x>0.77867</cdr:x>
      <cdr:y>0.20386</cdr:y>
    </cdr:to>
    <cdr:sp macro="" textlink="">
      <cdr:nvSpPr>
        <cdr:cNvPr id="3" name="Rectangle 2">
          <a:extLst xmlns:a="http://schemas.openxmlformats.org/drawingml/2006/main">
            <a:ext uri="{FF2B5EF4-FFF2-40B4-BE49-F238E27FC236}">
              <a16:creationId xmlns:a16="http://schemas.microsoft.com/office/drawing/2014/main" id="{0CCC3E09-4550-32D7-DDE1-C0EA428C2511}"/>
            </a:ext>
          </a:extLst>
        </cdr:cNvPr>
        <cdr:cNvSpPr/>
      </cdr:nvSpPr>
      <cdr:spPr>
        <a:xfrm xmlns:a="http://schemas.openxmlformats.org/drawingml/2006/main">
          <a:off x="929656" y="0"/>
          <a:ext cx="2019272" cy="405432"/>
        </a:xfrm>
        <a:prstGeom xmlns:a="http://schemas.openxmlformats.org/drawingml/2006/main" prst="rect">
          <a:avLst/>
        </a:prstGeom>
        <a:noFill xmlns:a="http://schemas.openxmlformats.org/drawingml/2006/main"/>
      </cdr:spPr>
      <cdr:txBody>
        <a:bodyPr xmlns:a="http://schemas.openxmlformats.org/drawingml/2006/main" wrap="none" lIns="91440" tIns="45720" rIns="91440" bIns="45720">
          <a:spAutoFit/>
          <a:scene3d>
            <a:camera prst="orthographicFront"/>
            <a:lightRig rig="harsh" dir="t"/>
          </a:scene3d>
          <a:sp3d extrusionH="57150" prstMaterial="matte">
            <a:bevelT w="63500" h="12700" prst="angle"/>
            <a:contourClr>
              <a:schemeClr val="bg1">
                <a:lumMod val="65000"/>
              </a:schemeClr>
            </a:contourClr>
          </a:sp3d>
        </a:bodyPr>
        <a:lstStyle xmlns:a="http://schemas.openxmlformats.org/drawingml/2006/main"/>
        <a:p xmlns:a="http://schemas.openxmlformats.org/drawingml/2006/main">
          <a:pPr algn="ctr"/>
          <a:r>
            <a:rPr lang="en-US" sz="2000" b="1" u="sng" cap="none" spc="0">
              <a:ln/>
              <a:solidFill>
                <a:srgbClr val="FFFF00"/>
              </a:solidFill>
              <a:effectLst/>
            </a:rPr>
            <a:t>TOP CUSTOMERS</a:t>
          </a:r>
        </a:p>
      </cdr:txBody>
    </cdr:sp>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18</xdr:row>
      <xdr:rowOff>41910</xdr:rowOff>
    </xdr:from>
    <xdr:to>
      <xdr:col>5</xdr:col>
      <xdr:colOff>495300</xdr:colOff>
      <xdr:row>33</xdr:row>
      <xdr:rowOff>41910</xdr:rowOff>
    </xdr:to>
    <xdr:graphicFrame macro="">
      <xdr:nvGraphicFramePr>
        <xdr:cNvPr id="3" name="Chart 2">
          <a:extLst>
            <a:ext uri="{FF2B5EF4-FFF2-40B4-BE49-F238E27FC236}">
              <a16:creationId xmlns:a16="http://schemas.microsoft.com/office/drawing/2014/main" id="{2390A5D1-2DAD-96AE-059B-18BF434A19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480060</xdr:colOff>
      <xdr:row>7</xdr:row>
      <xdr:rowOff>41910</xdr:rowOff>
    </xdr:from>
    <xdr:to>
      <xdr:col>14</xdr:col>
      <xdr:colOff>175260</xdr:colOff>
      <xdr:row>22</xdr:row>
      <xdr:rowOff>41910</xdr:rowOff>
    </xdr:to>
    <xdr:graphicFrame macro="">
      <xdr:nvGraphicFramePr>
        <xdr:cNvPr id="3" name="Chart 2">
          <a:extLst>
            <a:ext uri="{FF2B5EF4-FFF2-40B4-BE49-F238E27FC236}">
              <a16:creationId xmlns:a16="http://schemas.microsoft.com/office/drawing/2014/main" id="{EA892C93-A40C-78DF-A3DB-697589F49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WAYAM BHARGAVA" refreshedDate="45982.884166319447" createdVersion="8" refreshedVersion="8" minRefreshableVersion="3" recordCount="1015" xr:uid="{7353252C-04D0-4220-AD43-7C8474B60A6A}">
  <cacheSource type="worksheet">
    <worksheetSource name="SALE_DATA"/>
  </cacheSource>
  <cacheFields count="11">
    <cacheField name="Transaction ID" numFmtId="0">
      <sharedItems containsSemiMixedTypes="0" containsString="0" containsNumber="1" containsInteger="1" minValue="1" maxValue="1000"/>
    </cacheField>
    <cacheField name="Date" numFmtId="14">
      <sharedItems containsSemiMixedTypes="0" containsNonDate="0" containsDate="1" containsString="0" minDate="2023-01-01T00:00:00" maxDate="2024-12-14T00:00:00"/>
    </cacheField>
    <cacheField name="YEAR" numFmtId="1">
      <sharedItems containsSemiMixedTypes="0" containsString="0" containsNumber="1" containsInteger="1" minValue="2023" maxValue="2024" count="2">
        <n v="2023"/>
        <n v="2024"/>
      </sharedItems>
    </cacheField>
    <cacheField name="MONTH" numFmtId="1">
      <sharedItems containsSemiMixedTypes="0" containsString="0" containsNumber="1" containsInteger="1" minValue="1" maxValue="12" count="12">
        <n v="1"/>
        <n v="2"/>
        <n v="3"/>
        <n v="4"/>
        <n v="5"/>
        <n v="6"/>
        <n v="7"/>
        <n v="8"/>
        <n v="9"/>
        <n v="10"/>
        <n v="11"/>
        <n v="12"/>
      </sharedItems>
    </cacheField>
    <cacheField name="Customer ID" numFmtId="0">
      <sharedItems count="1000">
        <s v="CUST180"/>
        <s v="CUST522"/>
        <s v="CUST559"/>
        <s v="CUST163"/>
        <s v="CUST303"/>
        <s v="CUST421"/>
        <s v="CUST979"/>
        <s v="CUST610"/>
        <s v="CUST032"/>
        <s v="CUST231"/>
        <s v="CUST683"/>
        <s v="CUST367"/>
        <s v="CUST391"/>
        <s v="CUST432"/>
        <s v="CUST150"/>
        <s v="CUST845"/>
        <s v="CUST797"/>
        <s v="CUST921"/>
        <s v="CUST291"/>
        <s v="CUST907"/>
        <s v="CUST860"/>
        <s v="CUST184"/>
        <s v="CUST734"/>
        <s v="CUST225"/>
        <s v="CUST679"/>
        <s v="CUST746"/>
        <s v="CUST003"/>
        <s v="CUST464"/>
        <s v="CUST484"/>
        <s v="CUST591"/>
        <s v="CUST021"/>
        <s v="CUST708"/>
        <s v="CUST713"/>
        <s v="CUST768"/>
        <s v="CUST499"/>
        <s v="CUST697"/>
        <s v="CUST831"/>
        <s v="CUST015"/>
        <s v="CUST743"/>
        <s v="CUST014"/>
        <s v="CUST103"/>
        <s v="CUST238"/>
        <s v="CUST986"/>
        <s v="CUST438"/>
        <s v="CUST475"/>
        <s v="CUST505"/>
        <s v="CUST344"/>
        <s v="CUST448"/>
        <s v="CUST742"/>
        <s v="CUST445"/>
        <s v="CUST787"/>
        <s v="CUST049"/>
        <s v="CUST420"/>
        <s v="CUST519"/>
        <s v="CUST064"/>
        <s v="CUST592"/>
        <s v="CUST912"/>
        <s v="CUST134"/>
        <s v="CUST288"/>
        <s v="CUST323"/>
        <s v="CUST618"/>
        <s v="CUST720"/>
        <s v="CUST415"/>
        <s v="CUST736"/>
        <s v="CUST929"/>
        <s v="CUST264"/>
        <s v="CUST913"/>
        <s v="CUST940"/>
        <s v="CUST101"/>
        <s v="CUST189"/>
        <s v="CUST317"/>
        <s v="CUST322"/>
        <s v="CUST329"/>
        <s v="CUST235"/>
        <s v="CUST300"/>
        <s v="CUST964"/>
        <s v="CUST269"/>
        <s v="CUST320"/>
        <s v="CUST673"/>
        <s v="CUST142"/>
        <s v="CUST223"/>
        <s v="CUST666"/>
        <s v="CUST107"/>
        <s v="CUST933"/>
        <s v="CUST237"/>
        <s v="CUST335"/>
        <s v="CUST063"/>
        <s v="CUST195"/>
        <s v="CUST333"/>
        <s v="CUST379"/>
        <s v="CUST490"/>
        <s v="CUST530"/>
        <s v="CUST740"/>
        <s v="CUST793"/>
        <s v="CUST085"/>
        <s v="CUST232"/>
        <s v="CUST240"/>
        <s v="CUST993"/>
        <s v="CUST366"/>
        <s v="CUST372"/>
        <s v="CUST596"/>
        <s v="CUST936"/>
        <s v="CUST284"/>
        <s v="CUST434"/>
        <s v="CUST775"/>
        <s v="CUST977"/>
        <s v="CUST649"/>
        <s v="CUST054"/>
        <s v="CUST068"/>
        <s v="CUST192"/>
        <s v="CUST331"/>
        <s v="CUST346"/>
        <s v="CUST657"/>
        <s v="CUST732"/>
        <s v="CUST972"/>
        <s v="CUST714"/>
        <s v="CUST193"/>
        <s v="CUST577"/>
        <s v="CUST848"/>
        <s v="CUST945"/>
        <s v="CUST011"/>
        <s v="CUST821"/>
        <s v="CUST133"/>
        <s v="CUST016"/>
        <s v="CUST042"/>
        <s v="CUST292"/>
        <s v="CUST416"/>
        <s v="CUST584"/>
        <s v="CUST861"/>
        <s v="CUST256"/>
        <s v="CUST044"/>
        <s v="CUST257"/>
        <s v="CUST268"/>
        <s v="CUST287"/>
        <s v="CUST966"/>
        <s v="CUST070"/>
        <s v="CUST371"/>
        <s v="CUST900"/>
        <s v="CUST008"/>
        <s v="CUST041"/>
        <s v="CUST454"/>
        <s v="CUST780"/>
        <s v="CUST920"/>
        <s v="CUST396"/>
        <s v="CUST168"/>
        <s v="CUST400"/>
        <s v="CUST611"/>
        <s v="CUST800"/>
        <s v="CUST272"/>
        <s v="CUST473"/>
        <s v="CUST506"/>
        <s v="CUST766"/>
        <s v="CUST135"/>
        <s v="CUST002"/>
        <s v="CUST158"/>
        <s v="CUST185"/>
        <s v="CUST433"/>
        <s v="CUST152"/>
        <s v="CUST753"/>
        <s v="CUST763"/>
        <s v="CUST932"/>
        <s v="CUST399"/>
        <s v="CUST500"/>
        <s v="CUST514"/>
        <s v="CUST947"/>
        <s v="CUST220"/>
        <s v="CUST339"/>
        <s v="CUST785"/>
        <s v="CUST885"/>
        <s v="CUST888"/>
        <s v="CUST621"/>
        <s v="CUST052"/>
        <s v="CUST536"/>
        <s v="CUST197"/>
        <s v="CUST750"/>
        <s v="CUST910"/>
        <s v="CUST917"/>
        <s v="CUST198"/>
        <s v="CUST444"/>
        <s v="CUST547"/>
        <s v="CUST705"/>
        <s v="CUST423"/>
        <s v="CUST248"/>
        <s v="CUST360"/>
        <s v="CUST377"/>
        <s v="CUST397"/>
        <s v="CUST623"/>
        <s v="CUST717"/>
        <s v="CUST130"/>
        <s v="CUST658"/>
        <s v="CUST007"/>
        <s v="CUST119"/>
        <s v="CUST278"/>
        <s v="CUST117"/>
        <s v="CUST442"/>
        <s v="CUST590"/>
        <s v="CUST607"/>
        <s v="CUST436"/>
        <s v="CUST942"/>
        <s v="CUST659"/>
        <s v="CUST941"/>
        <s v="CUST136"/>
        <s v="CUST175"/>
        <s v="CUST663"/>
        <s v="CUST748"/>
        <s v="CUST806"/>
        <s v="CUST038"/>
        <s v="CUST313"/>
        <s v="CUST402"/>
        <s v="CUST459"/>
        <s v="CUST161"/>
        <s v="CUST328"/>
        <s v="CUST383"/>
        <s v="CUST973"/>
        <s v="CUST978"/>
        <s v="CUST033"/>
        <s v="CUST138"/>
        <s v="CUST471"/>
        <s v="CUST636"/>
        <s v="CUST177"/>
        <s v="CUST426"/>
        <s v="CUST076"/>
        <s v="CUST091"/>
        <s v="CUST461"/>
        <s v="CUST764"/>
        <s v="CUST202"/>
        <s v="CUST301"/>
        <s v="CUST703"/>
        <s v="CUST294"/>
        <s v="CUST760"/>
        <s v="CUST575"/>
        <s v="CUST088"/>
        <s v="CUST975"/>
        <s v="CUST553"/>
        <s v="CUST462"/>
        <s v="CUST614"/>
        <s v="CUST808"/>
        <s v="CUST166"/>
        <s v="CUST465"/>
        <s v="CUST502"/>
        <s v="CUST905"/>
        <s v="CUST280"/>
        <s v="CUST719"/>
        <s v="CUST834"/>
        <s v="CUST891"/>
        <s v="CUST928"/>
        <s v="CUST332"/>
        <s v="CUST255"/>
        <s v="CUST275"/>
        <s v="CUST314"/>
        <s v="CUST517"/>
        <s v="CUST847"/>
        <s v="CUST061"/>
        <s v="CUST274"/>
        <s v="CUST486"/>
        <s v="CUST548"/>
        <s v="CUST886"/>
        <s v="CUST892"/>
        <s v="CUST601"/>
        <s v="CUST901"/>
        <s v="CUST527"/>
        <s v="CUST023"/>
        <s v="CUST174"/>
        <s v="CUST589"/>
        <s v="CUST774"/>
        <s v="CUST1000"/>
        <s v="CUST210"/>
        <s v="CUST478"/>
        <s v="CUST745"/>
        <s v="CUST354"/>
        <s v="CUST408"/>
        <s v="CUST674"/>
        <s v="CUST967"/>
        <s v="CUST079"/>
        <s v="CUST406"/>
        <s v="CUST450"/>
        <s v="CUST562"/>
        <s v="CUST108"/>
        <s v="CUST111"/>
        <s v="CUST207"/>
        <s v="CUST724"/>
        <s v="CUST836"/>
        <s v="CUST969"/>
        <s v="CUST246"/>
        <s v="CUST298"/>
        <s v="CUST374"/>
        <s v="CUST572"/>
        <s v="CUST665"/>
        <s v="CUST039"/>
        <s v="CUST893"/>
        <s v="CUST017"/>
        <s v="CUST316"/>
        <s v="CUST755"/>
        <s v="CUST028"/>
        <s v="CUST098"/>
        <s v="CUST129"/>
        <s v="CUST230"/>
        <s v="CUST613"/>
        <s v="CUST691"/>
        <s v="CUST693"/>
        <s v="CUST477"/>
        <s v="CUST863"/>
        <s v="CUST006"/>
        <s v="CUST483"/>
        <s v="CUST738"/>
        <s v="CUST222"/>
        <s v="CUST588"/>
        <s v="CUST953"/>
        <s v="CUST066"/>
        <s v="CUST482"/>
        <s v="CUST903"/>
        <s v="CUST102"/>
        <s v="CUST228"/>
        <s v="CUST236"/>
        <s v="CUST660"/>
        <s v="CUST884"/>
        <s v="CUST987"/>
        <s v="CUST018"/>
        <s v="CUST069"/>
        <s v="CUST995"/>
        <s v="CUST337"/>
        <s v="CUST585"/>
        <s v="CUST652"/>
        <s v="CUST242"/>
        <s v="CUST293"/>
        <s v="CUST460"/>
        <s v="CUST188"/>
        <s v="CUST357"/>
        <s v="CUST646"/>
        <s v="CUST749"/>
        <s v="CUST974"/>
        <s v="CUST190"/>
        <s v="CUST849"/>
        <s v="CUST853"/>
        <s v="CUST252"/>
        <s v="CUST606"/>
        <s v="CUST779"/>
        <s v="CUST824"/>
        <s v="CUST866"/>
        <s v="CUST005"/>
        <s v="CUST090"/>
        <s v="CUST380"/>
        <s v="CUST593"/>
        <s v="CUST820"/>
        <s v="CUST120"/>
        <s v="CUST221"/>
        <s v="CUST341"/>
        <s v="CUST640"/>
        <s v="CUST744"/>
        <s v="CUST273"/>
        <s v="CUST283"/>
        <s v="CUST452"/>
        <s v="CUST469"/>
        <s v="CUST620"/>
        <s v="CUST946"/>
        <s v="CUST148"/>
        <s v="CUST414"/>
        <s v="CUST883"/>
        <s v="CUST731"/>
        <s v="CUST930"/>
        <s v="CUST518"/>
        <s v="CUST758"/>
        <s v="CUST639"/>
        <s v="CUST838"/>
        <s v="CUST353"/>
        <s v="CUST501"/>
        <s v="CUST721"/>
        <s v="CUST123"/>
        <s v="CUST164"/>
        <s v="CUST425"/>
        <s v="CUST048"/>
        <s v="CUST118"/>
        <s v="CUST203"/>
        <s v="CUST305"/>
        <s v="CUST358"/>
        <s v="CUST376"/>
        <s v="CUST398"/>
        <s v="CUST411"/>
        <s v="CUST504"/>
        <s v="CUST970"/>
        <s v="CUST996"/>
        <s v="CUST081"/>
        <s v="CUST155"/>
        <s v="CUST470"/>
        <s v="CUST106"/>
        <s v="CUST818"/>
        <s v="CUST094"/>
        <s v="CUST811"/>
        <s v="CUST881"/>
        <s v="CUST403"/>
        <s v="CUST653"/>
        <s v="CUST694"/>
        <s v="CUST004"/>
        <s v="CUST647"/>
        <s v="CUST911"/>
        <s v="CUST419"/>
        <s v="CUST642"/>
        <s v="CUST843"/>
        <s v="CUST895"/>
        <s v="CUST031"/>
        <s v="CUST037"/>
        <s v="CUST072"/>
        <s v="CUST243"/>
        <s v="CUST281"/>
        <s v="CUST489"/>
        <s v="CUST491"/>
        <s v="CUST729"/>
        <s v="CUST822"/>
        <s v="CUST840"/>
        <s v="CUST404"/>
        <s v="CUST899"/>
        <s v="CUST990"/>
        <s v="CUST382"/>
        <s v="CUST578"/>
        <s v="CUST923"/>
        <s v="CUST307"/>
        <s v="CUST561"/>
        <s v="CUST651"/>
        <s v="CUST988"/>
        <s v="CUST067"/>
        <s v="CUST915"/>
        <s v="CUST985"/>
        <s v="CUST056"/>
        <s v="CUST159"/>
        <s v="CUST862"/>
        <s v="CUST315"/>
        <s v="CUST545"/>
        <s v="CUST902"/>
        <s v="CUST170"/>
        <s v="CUST685"/>
        <s v="CUST958"/>
        <s v="CUST363"/>
        <s v="CUST394"/>
        <s v="CUST537"/>
        <s v="CUST387"/>
        <s v="CUST556"/>
        <s v="CUST782"/>
        <s v="CUST906"/>
        <s v="CUST560"/>
        <s v="CUST944"/>
        <s v="CUST481"/>
        <s v="CUST867"/>
        <s v="CUST882"/>
        <s v="CUST961"/>
        <s v="CUST187"/>
        <s v="CUST446"/>
        <s v="CUST539"/>
        <s v="CUST587"/>
        <s v="CUST212"/>
        <s v="CUST765"/>
        <s v="CUST769"/>
        <s v="CUST321"/>
        <s v="CUST356"/>
        <s v="CUST510"/>
        <s v="CUST534"/>
        <s v="CUST104"/>
        <s v="CUST110"/>
        <s v="CUST352"/>
        <s v="CUST365"/>
        <s v="CUST887"/>
        <s v="CUST629"/>
        <s v="CUST655"/>
        <s v="CUST567"/>
        <s v="CUST182"/>
        <s v="CUST819"/>
        <s v="CUST100"/>
        <s v="CUST833"/>
        <s v="CUST542"/>
        <s v="CUST723"/>
        <s v="CUST726"/>
        <s v="CUST488"/>
        <s v="CUST239"/>
        <s v="CUST498"/>
        <s v="CUST532"/>
        <s v="CUST669"/>
        <s v="CUST877"/>
        <s v="CUST422"/>
        <s v="CUST466"/>
        <s v="CUST583"/>
        <s v="CUST654"/>
        <s v="CUST040"/>
        <s v="CUST699"/>
        <s v="CUST727"/>
        <s v="CUST830"/>
        <s v="CUST224"/>
        <s v="CUST271"/>
        <s v="CUST036"/>
        <s v="CUST157"/>
        <s v="CUST796"/>
        <s v="CUST839"/>
        <s v="CUST927"/>
        <s v="CUST407"/>
        <s v="CUST046"/>
        <s v="CUST509"/>
        <s v="CUST874"/>
        <s v="CUST788"/>
        <s v="CUST378"/>
        <s v="CUST480"/>
        <s v="CUST492"/>
        <s v="CUST737"/>
        <s v="CUST684"/>
        <s v="CUST878"/>
        <s v="CUST078"/>
        <s v="CUST260"/>
        <s v="CUST455"/>
        <s v="CUST837"/>
        <s v="CUST045"/>
        <s v="CUST449"/>
        <s v="CUST904"/>
        <s v="CUST059"/>
        <s v="CUST128"/>
        <s v="CUST186"/>
        <s v="CUST802"/>
        <s v="CUST075"/>
        <s v="CUST447"/>
        <s v="CUST528"/>
        <s v="CUST759"/>
        <s v="CUST870"/>
        <s v="CUST077"/>
        <s v="CUST381"/>
        <s v="CUST439"/>
        <s v="CUST792"/>
        <s v="CUST176"/>
        <s v="CUST216"/>
        <s v="CUST772"/>
        <s v="CUST053"/>
        <s v="CUST043"/>
        <s v="CUST071"/>
        <s v="CUST093"/>
        <s v="CUST302"/>
        <s v="CUST551"/>
        <s v="CUST681"/>
        <s v="CUST722"/>
        <s v="CUST728"/>
        <s v="CUST829"/>
        <s v="CUST955"/>
        <s v="CUST144"/>
        <s v="CUST474"/>
        <s v="CUST603"/>
        <s v="CUST661"/>
        <s v="CUST143"/>
        <s v="CUST515"/>
        <s v="CUST304"/>
        <s v="CUST676"/>
        <s v="CUST686"/>
        <s v="CUST698"/>
        <s v="CUST709"/>
        <s v="CUST114"/>
        <s v="CUST359"/>
        <s v="CUST773"/>
        <s v="CUST127"/>
        <s v="CUST213"/>
        <s v="CUST487"/>
        <s v="CUST495"/>
        <s v="CUST605"/>
        <s v="CUST105"/>
        <s v="CUST299"/>
        <s v="CUST934"/>
        <s v="CUST270"/>
        <s v="CUST338"/>
        <s v="CUST543"/>
        <s v="CUST557"/>
        <s v="CUST702"/>
        <s v="CUST864"/>
        <s v="CUST254"/>
        <s v="CUST295"/>
        <s v="CUST457"/>
        <s v="CUST668"/>
        <s v="CUST850"/>
        <s v="CUST541"/>
        <s v="CUST980"/>
        <s v="CUST262"/>
        <s v="CUST467"/>
        <s v="CUST463"/>
        <s v="CUST598"/>
        <s v="CUST667"/>
        <s v="CUST672"/>
        <s v="CUST949"/>
        <s v="CUST027"/>
        <s v="CUST347"/>
        <s v="CUST687"/>
        <s v="CUST549"/>
        <s v="CUST675"/>
        <s v="CUST730"/>
        <s v="CUST798"/>
        <s v="CUST013"/>
        <s v="CUST035"/>
        <s v="CUST140"/>
        <s v="CUST206"/>
        <s v="CUST261"/>
        <s v="CUST279"/>
        <s v="CUST308"/>
        <s v="CUST418"/>
        <s v="CUST612"/>
        <s v="CUST875"/>
        <s v="CUST430"/>
        <s v="CUST633"/>
        <s v="CUST125"/>
        <s v="CUST716"/>
        <s v="CUST790"/>
        <s v="CUST960"/>
        <s v="CUST259"/>
        <s v="CUST443"/>
        <s v="CUST529"/>
        <s v="CUST563"/>
        <s v="CUST801"/>
        <s v="CUST160"/>
        <s v="CUST508"/>
        <s v="CUST807"/>
        <s v="CUST511"/>
        <s v="CUST521"/>
        <s v="CUST695"/>
        <s v="CUST816"/>
        <s v="CUST217"/>
        <s v="CUST384"/>
        <s v="CUST648"/>
        <s v="CUST926"/>
        <s v="CUST285"/>
        <s v="CUST427"/>
        <s v="CUST569"/>
        <s v="CUST570"/>
        <s v="CUST630"/>
        <s v="CUST957"/>
        <s v="CUST635"/>
        <s v="CUST029"/>
        <s v="CUST277"/>
        <s v="CUST859"/>
        <s v="CUST638"/>
        <s v="CUST823"/>
        <s v="CUST956"/>
        <s v="CUST981"/>
        <s v="CUST219"/>
        <s v="CUST073"/>
        <s v="CUST162"/>
        <s v="CUST306"/>
        <s v="CUST725"/>
        <s v="CUST880"/>
        <s v="CUST992"/>
        <s v="CUST597"/>
        <s v="CUST622"/>
        <s v="CUST116"/>
        <s v="CUST364"/>
        <s v="CUST368"/>
        <s v="CUST050"/>
        <s v="CUST479"/>
        <s v="CUST804"/>
        <s v="CUST092"/>
        <s v="CUST282"/>
        <s v="CUST718"/>
        <s v="CUST617"/>
        <s v="CUST624"/>
        <s v="CUST825"/>
        <s v="CUST568"/>
        <s v="CUST671"/>
        <s v="CUST756"/>
        <s v="CUST815"/>
        <s v="CUST146"/>
        <s v="CUST263"/>
        <s v="CUST704"/>
        <s v="CUST476"/>
        <s v="CUST733"/>
        <s v="CUST924"/>
        <s v="CUST984"/>
        <s v="CUST251"/>
        <s v="CUST253"/>
        <s v="CUST574"/>
        <s v="CUST751"/>
        <s v="CUST871"/>
        <s v="CUST200"/>
        <s v="CUST594"/>
        <s v="CUST637"/>
        <s v="CUST855"/>
        <s v="CUST325"/>
        <s v="CUST682"/>
        <s v="CUST931"/>
        <s v="CUST925"/>
        <s v="CUST297"/>
        <s v="CUST814"/>
        <s v="CUST894"/>
        <s v="CUST194"/>
        <s v="CUST245"/>
        <s v="CUST296"/>
        <s v="CUST644"/>
        <s v="CUST696"/>
        <s v="CUST312"/>
        <s v="CUST692"/>
        <s v="CUST835"/>
        <s v="CUST183"/>
        <s v="CUST413"/>
        <s v="CUST799"/>
        <s v="CUST851"/>
        <s v="CUST858"/>
        <s v="CUST919"/>
        <s v="CUST935"/>
        <s v="CUST132"/>
        <s v="CUST604"/>
        <s v="CUST832"/>
        <s v="CUST113"/>
        <s v="CUST165"/>
        <s v="CUST326"/>
        <s v="CUST019"/>
        <s v="CUST412"/>
        <s v="CUST632"/>
        <s v="CUST167"/>
        <s v="CUST172"/>
        <s v="CUST375"/>
        <s v="CUST538"/>
        <s v="CUST794"/>
        <s v="CUST131"/>
        <s v="CUST330"/>
        <s v="CUST494"/>
        <s v="CUST513"/>
        <s v="CUST573"/>
        <s v="CUST241"/>
        <s v="CUST579"/>
        <s v="CUST218"/>
        <s v="CUST846"/>
        <s v="CUST616"/>
        <s v="CUST523"/>
        <s v="CUST643"/>
        <s v="CUST351"/>
        <s v="CUST809"/>
        <s v="CUST954"/>
        <s v="CUST897"/>
        <s v="CUST147"/>
        <s v="CUST204"/>
        <s v="CUST390"/>
        <s v="CUST179"/>
        <s v="CUST327"/>
        <s v="CUST626"/>
        <s v="CUST873"/>
        <s v="CUST196"/>
        <s v="CUST789"/>
        <s v="CUST089"/>
        <s v="CUST707"/>
        <s v="CUST909"/>
        <s v="CUST051"/>
        <s v="CUST154"/>
        <s v="CUST276"/>
        <s v="CUST497"/>
        <s v="CUST889"/>
        <s v="CUST122"/>
        <s v="CUST373"/>
        <s v="CUST524"/>
        <s v="CUST688"/>
        <s v="CUST813"/>
        <s v="CUST178"/>
        <s v="CUST208"/>
        <s v="CUST247"/>
        <s v="CUST290"/>
        <s v="CUST656"/>
        <s v="CUST735"/>
        <s v="CUST319"/>
        <s v="CUST670"/>
        <s v="CUST385"/>
        <s v="CUST010"/>
        <s v="CUST026"/>
        <s v="CUST437"/>
        <s v="CUST689"/>
        <s v="CUST558"/>
        <s v="CUST634"/>
        <s v="CUST201"/>
        <s v="CUST286"/>
        <s v="CUST876"/>
        <s v="CUST055"/>
        <s v="CUST428"/>
        <s v="CUST441"/>
        <s v="CUST976"/>
        <s v="CUST149"/>
        <s v="CUST227"/>
        <s v="CUST393"/>
        <s v="CUST401"/>
        <s v="CUST546"/>
        <s v="CUST872"/>
        <s v="CUST914"/>
        <s v="CUST310"/>
        <s v="CUST844"/>
        <s v="CUST852"/>
        <s v="CUST097"/>
        <s v="CUST619"/>
        <s v="CUST948"/>
        <s v="CUST456"/>
        <s v="CUST627"/>
        <s v="CUST022"/>
        <s v="CUST121"/>
        <s v="CUST431"/>
        <s v="CUST370"/>
        <s v="CUST711"/>
        <s v="CUST754"/>
        <s v="CUST943"/>
        <s v="CUST350"/>
        <s v="CUST786"/>
        <s v="CUST109"/>
        <s v="CUST191"/>
        <s v="CUST340"/>
        <s v="CUST555"/>
        <s v="CUST826"/>
        <s v="CUST962"/>
        <s v="CUST249"/>
        <s v="CUST922"/>
        <s v="CUST600"/>
        <s v="CUST680"/>
        <s v="CUST770"/>
        <s v="CUST060"/>
        <s v="CUST250"/>
        <s v="CUST516"/>
        <s v="CUST937"/>
        <s v="CUST318"/>
        <s v="CUST342"/>
        <s v="CUST564"/>
        <s v="CUST767"/>
        <s v="CUST503"/>
        <s v="CUST869"/>
        <s v="CUST126"/>
        <s v="CUST349"/>
        <s v="CUST440"/>
        <s v="CUST124"/>
        <s v="CUST324"/>
        <s v="CUST677"/>
        <s v="CUST030"/>
        <s v="CUST226"/>
        <s v="CUST229"/>
        <s v="CUST896"/>
        <s v="CUST959"/>
        <s v="CUST998"/>
        <s v="CUST012"/>
        <s v="CUST710"/>
        <s v="CUST776"/>
        <s v="CUST817"/>
        <s v="CUST334"/>
        <s v="CUST343"/>
        <s v="CUST628"/>
        <s v="CUST983"/>
        <s v="CUST141"/>
        <s v="CUST145"/>
        <s v="CUST507"/>
        <s v="CUST841"/>
        <s v="CUST898"/>
        <s v="CUST951"/>
        <s v="CUST181"/>
        <s v="CUST784"/>
        <s v="CUST020"/>
        <s v="CUST690"/>
        <s v="CUST047"/>
        <s v="CUST405"/>
        <s v="CUST205"/>
        <s v="CUST512"/>
        <s v="CUST565"/>
        <s v="CUST761"/>
        <s v="CUST762"/>
        <s v="CUST950"/>
        <s v="CUST086"/>
        <s v="CUST173"/>
        <s v="CUST595"/>
        <s v="CUST827"/>
        <s v="CUST965"/>
        <s v="CUST388"/>
        <s v="CUST631"/>
        <s v="CUST554"/>
        <s v="CUST812"/>
        <s v="CUST058"/>
        <s v="CUST952"/>
        <s v="CUST345"/>
        <s v="CUST458"/>
        <s v="CUST582"/>
        <s v="CUST963"/>
        <s v="CUST369"/>
        <s v="CUST706"/>
        <s v="CUST747"/>
        <s v="CUST533"/>
        <s v="CUST169"/>
        <s v="CUST645"/>
        <s v="CUST968"/>
        <s v="CUST997"/>
        <s v="CUST057"/>
        <s v="CUST137"/>
        <s v="CUST778"/>
        <s v="CUST599"/>
        <s v="CUST938"/>
        <s v="CUST234"/>
        <s v="CUST410"/>
        <s v="CUST417"/>
        <s v="CUST581"/>
        <s v="CUST074"/>
        <s v="CUST087"/>
        <s v="CUST803"/>
        <s v="CUST424"/>
        <s v="CUST641"/>
        <s v="CUST918"/>
        <s v="CUST001"/>
        <s v="CUST095"/>
        <s v="CUST171"/>
        <s v="CUST156"/>
        <s v="CUST493"/>
        <s v="CUST115"/>
        <s v="CUST715"/>
        <s v="CUST267"/>
        <s v="CUST362"/>
        <s v="CUST856"/>
        <s v="CUST084"/>
        <s v="CUST795"/>
        <s v="CUST024"/>
        <s v="CUST215"/>
        <s v="CUST739"/>
        <s v="CUST289"/>
        <s v="CUST741"/>
        <s v="CUST810"/>
        <s v="CUST266"/>
        <s v="CUST389"/>
        <s v="CUST112"/>
        <s v="CUST566"/>
        <s v="CUST608"/>
        <s v="CUST348"/>
        <s v="CUST199"/>
        <s v="CUST258"/>
        <s v="CUST485"/>
        <s v="CUST576"/>
        <s v="CUST065"/>
        <s v="CUST311"/>
        <s v="CUST791"/>
        <s v="CUST971"/>
        <s v="CUST999"/>
        <s v="CUST395"/>
        <s v="CUST535"/>
        <s v="CUST580"/>
        <s v="CUST712"/>
        <s v="CUST868"/>
        <s v="CUST531"/>
        <s v="CUST550"/>
        <s v="CUST392"/>
        <s v="CUST453"/>
        <s v="CUST540"/>
        <s v="CUST625"/>
        <s v="CUST244"/>
        <s v="CUST355"/>
        <s v="CUST468"/>
        <s v="CUST700"/>
        <s v="CUST752"/>
        <s v="CUST828"/>
        <s v="CUST080"/>
        <s v="CUST214"/>
        <s v="CUST361"/>
        <s v="CUST526"/>
        <s v="CUST265"/>
        <s v="CUST586"/>
        <s v="CUST336"/>
        <s v="CUST571"/>
        <s v="CUST009"/>
        <s v="CUST552"/>
        <s v="CUST771"/>
        <s v="CUST496"/>
        <s v="CUST701"/>
        <s v="CUST139"/>
        <s v="CUST151"/>
        <s v="CUST083"/>
        <s v="CUST153"/>
        <s v="CUST451"/>
        <s v="CUST099"/>
        <s v="CUST783"/>
        <s v="CUST409"/>
        <s v="CUST525"/>
        <s v="CUST939"/>
        <s v="CUST994"/>
        <s v="CUST096"/>
        <s v="CUST609"/>
        <s v="CUST982"/>
        <s v="CUST209"/>
        <s v="CUST435"/>
        <s v="CUST777"/>
        <s v="CUST854"/>
        <s v="CUST890"/>
        <s v="CUST865"/>
        <s v="CUST662"/>
        <s v="CUST309"/>
        <s v="CUST544"/>
        <s v="CUST602"/>
        <s v="CUST615"/>
        <s v="CUST678"/>
        <s v="CUST781"/>
        <s v="CUST034"/>
        <s v="CUST916"/>
        <s v="CUST757"/>
        <s v="CUST025"/>
        <s v="CUST082"/>
        <s v="CUST472"/>
        <s v="CUST842"/>
        <s v="CUST879"/>
        <s v="CUST991"/>
        <s v="CUST062"/>
        <s v="CUST386"/>
        <s v="CUST429"/>
        <s v="CUST664"/>
        <s v="CUST989"/>
        <s v="CUST233"/>
        <s v="CUST520"/>
        <s v="CUST805"/>
        <s v="CUST908"/>
        <s v="CUST857"/>
        <s v="CUST211"/>
        <s v="CUST650"/>
      </sharedItems>
    </cacheField>
    <cacheField name="Gender" numFmtId="0">
      <sharedItems/>
    </cacheField>
    <cacheField name="Age" numFmtId="0">
      <sharedItems containsSemiMixedTypes="0" containsString="0" containsNumber="1" containsInteger="1" minValue="18" maxValue="95"/>
    </cacheField>
    <cacheField name="Product Category" numFmtId="0">
      <sharedItems count="3">
        <s v="Clothing"/>
        <s v="Beauty"/>
        <s v="Electronics"/>
      </sharedItems>
    </cacheField>
    <cacheField name="Quantity" numFmtId="1">
      <sharedItems containsSemiMixedTypes="0" containsString="0" containsNumber="1" containsInteger="1" minValue="1" maxValue="8" count="8">
        <n v="3"/>
        <n v="4"/>
        <n v="1"/>
        <n v="2"/>
        <n v="7"/>
        <n v="5"/>
        <n v="8"/>
        <n v="6"/>
      </sharedItems>
    </cacheField>
    <cacheField name="Price per Unit" numFmtId="2">
      <sharedItems containsSemiMixedTypes="0" containsString="0" containsNumber="1" containsInteger="1" minValue="25" maxValue="700"/>
    </cacheField>
    <cacheField name="Total Amount" numFmtId="2">
      <sharedItems containsSemiMixedTypes="0" containsString="0" containsNumber="1" containsInteger="1" minValue="25" maxValue="2000"/>
    </cacheField>
  </cacheFields>
  <extLst>
    <ext xmlns:x14="http://schemas.microsoft.com/office/spreadsheetml/2009/9/main" uri="{725AE2AE-9491-48be-B2B4-4EB974FC3084}">
      <x14:pivotCacheDefinition pivotCacheId="17579868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5">
  <r>
    <n v="180"/>
    <d v="2023-01-01T00:00:00"/>
    <x v="0"/>
    <x v="0"/>
    <x v="0"/>
    <s v="Male"/>
    <n v="41"/>
    <x v="0"/>
    <x v="0"/>
    <n v="300"/>
    <n v="900"/>
  </r>
  <r>
    <n v="522"/>
    <d v="2023-01-01T00:00:00"/>
    <x v="0"/>
    <x v="0"/>
    <x v="1"/>
    <s v="Male"/>
    <n v="46"/>
    <x v="1"/>
    <x v="0"/>
    <n v="500"/>
    <n v="1500"/>
  </r>
  <r>
    <n v="559"/>
    <d v="2023-01-01T00:00:00"/>
    <x v="0"/>
    <x v="0"/>
    <x v="2"/>
    <s v="Female"/>
    <n v="40"/>
    <x v="0"/>
    <x v="1"/>
    <n v="300"/>
    <n v="1200"/>
  </r>
  <r>
    <n v="163"/>
    <d v="2023-01-02T00:00:00"/>
    <x v="0"/>
    <x v="0"/>
    <x v="3"/>
    <s v="Female"/>
    <n v="64"/>
    <x v="0"/>
    <x v="0"/>
    <n v="50"/>
    <n v="150"/>
  </r>
  <r>
    <n v="303"/>
    <d v="2023-01-02T00:00:00"/>
    <x v="0"/>
    <x v="0"/>
    <x v="4"/>
    <s v="Male"/>
    <n v="19"/>
    <x v="2"/>
    <x v="0"/>
    <n v="30"/>
    <n v="90"/>
  </r>
  <r>
    <n v="421"/>
    <d v="2023-01-02T00:00:00"/>
    <x v="0"/>
    <x v="0"/>
    <x v="5"/>
    <s v="Female"/>
    <n v="37"/>
    <x v="0"/>
    <x v="0"/>
    <n v="500"/>
    <n v="1500"/>
  </r>
  <r>
    <n v="979"/>
    <d v="2023-01-02T00:00:00"/>
    <x v="0"/>
    <x v="0"/>
    <x v="6"/>
    <s v="Female"/>
    <n v="19"/>
    <x v="1"/>
    <x v="2"/>
    <n v="25"/>
    <n v="25"/>
  </r>
  <r>
    <n v="610"/>
    <d v="2023-01-03T00:00:00"/>
    <x v="0"/>
    <x v="0"/>
    <x v="7"/>
    <s v="Female"/>
    <n v="26"/>
    <x v="1"/>
    <x v="3"/>
    <n v="300"/>
    <n v="600"/>
  </r>
  <r>
    <n v="32"/>
    <d v="2023-01-04T00:00:00"/>
    <x v="0"/>
    <x v="0"/>
    <x v="8"/>
    <s v="Male"/>
    <n v="30"/>
    <x v="1"/>
    <x v="0"/>
    <n v="30"/>
    <n v="90"/>
  </r>
  <r>
    <n v="231"/>
    <d v="2023-01-04T00:00:00"/>
    <x v="0"/>
    <x v="0"/>
    <x v="9"/>
    <s v="Female"/>
    <n v="23"/>
    <x v="0"/>
    <x v="0"/>
    <n v="50"/>
    <n v="150"/>
  </r>
  <r>
    <n v="683"/>
    <d v="2023-01-04T00:00:00"/>
    <x v="0"/>
    <x v="0"/>
    <x v="10"/>
    <s v="Male"/>
    <n v="38"/>
    <x v="1"/>
    <x v="3"/>
    <n v="500"/>
    <n v="1000"/>
  </r>
  <r>
    <n v="367"/>
    <d v="2023-01-05T00:00:00"/>
    <x v="0"/>
    <x v="0"/>
    <x v="11"/>
    <s v="Female"/>
    <n v="57"/>
    <x v="2"/>
    <x v="2"/>
    <n v="50"/>
    <n v="50"/>
  </r>
  <r>
    <n v="391"/>
    <d v="2023-01-05T00:00:00"/>
    <x v="0"/>
    <x v="0"/>
    <x v="12"/>
    <s v="Male"/>
    <n v="19"/>
    <x v="1"/>
    <x v="3"/>
    <n v="25"/>
    <n v="50"/>
  </r>
  <r>
    <n v="432"/>
    <d v="2023-01-05T00:00:00"/>
    <x v="0"/>
    <x v="0"/>
    <x v="13"/>
    <s v="Female"/>
    <n v="60"/>
    <x v="2"/>
    <x v="3"/>
    <n v="500"/>
    <n v="1000"/>
  </r>
  <r>
    <n v="150"/>
    <d v="2023-01-06T00:00:00"/>
    <x v="0"/>
    <x v="0"/>
    <x v="14"/>
    <s v="Female"/>
    <n v="58"/>
    <x v="2"/>
    <x v="1"/>
    <n v="30"/>
    <n v="120"/>
  </r>
  <r>
    <n v="845"/>
    <d v="2023-01-06T00:00:00"/>
    <x v="0"/>
    <x v="0"/>
    <x v="15"/>
    <s v="Male"/>
    <n v="54"/>
    <x v="0"/>
    <x v="2"/>
    <n v="500"/>
    <n v="500"/>
  </r>
  <r>
    <n v="797"/>
    <d v="2023-01-07T00:00:00"/>
    <x v="0"/>
    <x v="0"/>
    <x v="16"/>
    <s v="Male"/>
    <n v="40"/>
    <x v="0"/>
    <x v="0"/>
    <n v="25"/>
    <n v="75"/>
  </r>
  <r>
    <n v="921"/>
    <d v="2023-01-07T00:00:00"/>
    <x v="0"/>
    <x v="0"/>
    <x v="17"/>
    <s v="Male"/>
    <n v="51"/>
    <x v="2"/>
    <x v="0"/>
    <n v="25"/>
    <n v="75"/>
  </r>
  <r>
    <n v="291"/>
    <d v="2023-01-08T00:00:00"/>
    <x v="0"/>
    <x v="0"/>
    <x v="18"/>
    <s v="Male"/>
    <n v="60"/>
    <x v="0"/>
    <x v="3"/>
    <n v="300"/>
    <n v="600"/>
  </r>
  <r>
    <n v="907"/>
    <d v="2023-01-08T00:00:00"/>
    <x v="0"/>
    <x v="0"/>
    <x v="19"/>
    <s v="Female"/>
    <n v="45"/>
    <x v="2"/>
    <x v="2"/>
    <n v="25"/>
    <n v="25"/>
  </r>
  <r>
    <n v="860"/>
    <d v="2023-01-09T00:00:00"/>
    <x v="0"/>
    <x v="0"/>
    <x v="20"/>
    <s v="Male"/>
    <n v="63"/>
    <x v="0"/>
    <x v="1"/>
    <n v="50"/>
    <n v="200"/>
  </r>
  <r>
    <n v="184"/>
    <d v="2023-01-10T00:00:00"/>
    <x v="0"/>
    <x v="0"/>
    <x v="21"/>
    <s v="Male"/>
    <n v="31"/>
    <x v="2"/>
    <x v="1"/>
    <n v="50"/>
    <n v="200"/>
  </r>
  <r>
    <n v="734"/>
    <d v="2023-01-10T00:00:00"/>
    <x v="0"/>
    <x v="0"/>
    <x v="22"/>
    <s v="Female"/>
    <n v="27"/>
    <x v="0"/>
    <x v="2"/>
    <n v="30"/>
    <n v="30"/>
  </r>
  <r>
    <n v="225"/>
    <d v="2023-01-11T00:00:00"/>
    <x v="0"/>
    <x v="0"/>
    <x v="23"/>
    <s v="Female"/>
    <n v="57"/>
    <x v="1"/>
    <x v="1"/>
    <n v="25"/>
    <n v="100"/>
  </r>
  <r>
    <n v="679"/>
    <d v="2023-01-11T00:00:00"/>
    <x v="0"/>
    <x v="0"/>
    <x v="24"/>
    <s v="Female"/>
    <n v="18"/>
    <x v="1"/>
    <x v="0"/>
    <n v="30"/>
    <n v="90"/>
  </r>
  <r>
    <n v="746"/>
    <d v="2023-01-11T00:00:00"/>
    <x v="0"/>
    <x v="0"/>
    <x v="25"/>
    <s v="Female"/>
    <n v="33"/>
    <x v="0"/>
    <x v="0"/>
    <n v="30"/>
    <n v="90"/>
  </r>
  <r>
    <n v="3"/>
    <d v="2023-01-13T00:00:00"/>
    <x v="0"/>
    <x v="0"/>
    <x v="26"/>
    <s v="Male"/>
    <n v="50"/>
    <x v="2"/>
    <x v="2"/>
    <n v="30"/>
    <n v="30"/>
  </r>
  <r>
    <n v="464"/>
    <d v="2023-01-13T00:00:00"/>
    <x v="0"/>
    <x v="0"/>
    <x v="27"/>
    <s v="Male"/>
    <n v="38"/>
    <x v="2"/>
    <x v="3"/>
    <n v="300"/>
    <n v="600"/>
  </r>
  <r>
    <n v="484"/>
    <d v="2023-01-13T00:00:00"/>
    <x v="0"/>
    <x v="0"/>
    <x v="28"/>
    <s v="Female"/>
    <n v="19"/>
    <x v="0"/>
    <x v="1"/>
    <n v="300"/>
    <n v="1200"/>
  </r>
  <r>
    <n v="591"/>
    <d v="2023-01-13T00:00:00"/>
    <x v="0"/>
    <x v="0"/>
    <x v="29"/>
    <s v="Male"/>
    <n v="53"/>
    <x v="2"/>
    <x v="1"/>
    <n v="25"/>
    <n v="100"/>
  </r>
  <r>
    <n v="21"/>
    <d v="2023-01-14T00:00:00"/>
    <x v="0"/>
    <x v="0"/>
    <x v="30"/>
    <s v="Female"/>
    <n v="50"/>
    <x v="1"/>
    <x v="2"/>
    <n v="500"/>
    <n v="500"/>
  </r>
  <r>
    <n v="708"/>
    <d v="2023-01-14T00:00:00"/>
    <x v="0"/>
    <x v="0"/>
    <x v="31"/>
    <s v="Female"/>
    <n v="43"/>
    <x v="1"/>
    <x v="0"/>
    <n v="300"/>
    <n v="900"/>
  </r>
  <r>
    <n v="713"/>
    <d v="2023-01-14T00:00:00"/>
    <x v="0"/>
    <x v="0"/>
    <x v="32"/>
    <s v="Male"/>
    <n v="34"/>
    <x v="1"/>
    <x v="0"/>
    <n v="25"/>
    <n v="75"/>
  </r>
  <r>
    <n v="768"/>
    <d v="2023-01-14T00:00:00"/>
    <x v="0"/>
    <x v="0"/>
    <x v="33"/>
    <s v="Female"/>
    <n v="24"/>
    <x v="1"/>
    <x v="0"/>
    <n v="25"/>
    <n v="75"/>
  </r>
  <r>
    <n v="499"/>
    <d v="2023-01-15T00:00:00"/>
    <x v="0"/>
    <x v="0"/>
    <x v="34"/>
    <s v="Male"/>
    <n v="46"/>
    <x v="1"/>
    <x v="3"/>
    <n v="30"/>
    <n v="60"/>
  </r>
  <r>
    <n v="697"/>
    <d v="2023-01-15T00:00:00"/>
    <x v="0"/>
    <x v="0"/>
    <x v="35"/>
    <s v="Male"/>
    <n v="53"/>
    <x v="0"/>
    <x v="2"/>
    <n v="500"/>
    <n v="500"/>
  </r>
  <r>
    <n v="831"/>
    <d v="2023-01-15T00:00:00"/>
    <x v="0"/>
    <x v="0"/>
    <x v="36"/>
    <s v="Male"/>
    <n v="27"/>
    <x v="2"/>
    <x v="1"/>
    <n v="25"/>
    <n v="100"/>
  </r>
  <r>
    <n v="15"/>
    <d v="2023-01-16T00:00:00"/>
    <x v="0"/>
    <x v="0"/>
    <x v="37"/>
    <s v="Female"/>
    <n v="42"/>
    <x v="2"/>
    <x v="1"/>
    <n v="500"/>
    <n v="2000"/>
  </r>
  <r>
    <n v="743"/>
    <d v="2023-01-16T00:00:00"/>
    <x v="0"/>
    <x v="0"/>
    <x v="38"/>
    <s v="Female"/>
    <n v="34"/>
    <x v="1"/>
    <x v="1"/>
    <n v="500"/>
    <n v="2000"/>
  </r>
  <r>
    <n v="14"/>
    <d v="2023-01-17T00:00:00"/>
    <x v="0"/>
    <x v="0"/>
    <x v="39"/>
    <s v="Male"/>
    <n v="64"/>
    <x v="0"/>
    <x v="1"/>
    <n v="30"/>
    <n v="120"/>
  </r>
  <r>
    <n v="103"/>
    <d v="2023-01-17T00:00:00"/>
    <x v="0"/>
    <x v="0"/>
    <x v="40"/>
    <s v="Female"/>
    <n v="59"/>
    <x v="0"/>
    <x v="2"/>
    <n v="25"/>
    <n v="25"/>
  </r>
  <r>
    <n v="238"/>
    <d v="2023-01-17T00:00:00"/>
    <x v="0"/>
    <x v="0"/>
    <x v="41"/>
    <s v="Female"/>
    <n v="39"/>
    <x v="1"/>
    <x v="2"/>
    <n v="500"/>
    <n v="500"/>
  </r>
  <r>
    <n v="986"/>
    <d v="2023-01-17T00:00:00"/>
    <x v="0"/>
    <x v="0"/>
    <x v="42"/>
    <s v="Female"/>
    <n v="49"/>
    <x v="0"/>
    <x v="3"/>
    <n v="500"/>
    <n v="1000"/>
  </r>
  <r>
    <n v="438"/>
    <d v="2023-01-19T00:00:00"/>
    <x v="0"/>
    <x v="0"/>
    <x v="43"/>
    <s v="Female"/>
    <n v="42"/>
    <x v="0"/>
    <x v="2"/>
    <n v="30"/>
    <n v="30"/>
  </r>
  <r>
    <n v="475"/>
    <d v="2023-01-20T00:00:00"/>
    <x v="0"/>
    <x v="0"/>
    <x v="44"/>
    <s v="Male"/>
    <n v="26"/>
    <x v="0"/>
    <x v="0"/>
    <n v="25"/>
    <n v="75"/>
  </r>
  <r>
    <n v="505"/>
    <d v="2023-01-20T00:00:00"/>
    <x v="0"/>
    <x v="0"/>
    <x v="45"/>
    <s v="Male"/>
    <n v="24"/>
    <x v="1"/>
    <x v="2"/>
    <n v="50"/>
    <n v="50"/>
  </r>
  <r>
    <n v="344"/>
    <d v="2023-01-21T00:00:00"/>
    <x v="0"/>
    <x v="0"/>
    <x v="46"/>
    <s v="Female"/>
    <n v="42"/>
    <x v="1"/>
    <x v="2"/>
    <n v="30"/>
    <n v="30"/>
  </r>
  <r>
    <n v="448"/>
    <d v="2023-01-21T00:00:00"/>
    <x v="0"/>
    <x v="0"/>
    <x v="47"/>
    <s v="Female"/>
    <n v="54"/>
    <x v="1"/>
    <x v="3"/>
    <n v="30"/>
    <n v="60"/>
  </r>
  <r>
    <n v="742"/>
    <d v="2023-01-21T00:00:00"/>
    <x v="0"/>
    <x v="0"/>
    <x v="48"/>
    <s v="Female"/>
    <n v="38"/>
    <x v="2"/>
    <x v="1"/>
    <n v="500"/>
    <n v="2000"/>
  </r>
  <r>
    <n v="445"/>
    <d v="2023-01-22T00:00:00"/>
    <x v="0"/>
    <x v="0"/>
    <x v="49"/>
    <s v="Female"/>
    <n v="53"/>
    <x v="2"/>
    <x v="2"/>
    <n v="300"/>
    <n v="300"/>
  </r>
  <r>
    <n v="787"/>
    <d v="2023-01-22T00:00:00"/>
    <x v="0"/>
    <x v="0"/>
    <x v="50"/>
    <s v="Male"/>
    <n v="41"/>
    <x v="2"/>
    <x v="2"/>
    <n v="25"/>
    <n v="25"/>
  </r>
  <r>
    <n v="49"/>
    <d v="2023-01-23T00:00:00"/>
    <x v="0"/>
    <x v="0"/>
    <x v="51"/>
    <s v="Female"/>
    <n v="54"/>
    <x v="2"/>
    <x v="3"/>
    <n v="500"/>
    <n v="1000"/>
  </r>
  <r>
    <n v="420"/>
    <d v="2023-01-23T00:00:00"/>
    <x v="0"/>
    <x v="0"/>
    <x v="52"/>
    <s v="Female"/>
    <n v="22"/>
    <x v="0"/>
    <x v="1"/>
    <n v="500"/>
    <n v="2000"/>
  </r>
  <r>
    <n v="519"/>
    <d v="2023-01-23T00:00:00"/>
    <x v="0"/>
    <x v="0"/>
    <x v="53"/>
    <s v="Female"/>
    <n v="36"/>
    <x v="2"/>
    <x v="1"/>
    <n v="30"/>
    <n v="120"/>
  </r>
  <r>
    <n v="64"/>
    <d v="2023-01-24T00:00:00"/>
    <x v="0"/>
    <x v="0"/>
    <x v="54"/>
    <s v="Male"/>
    <n v="49"/>
    <x v="0"/>
    <x v="1"/>
    <n v="25"/>
    <n v="100"/>
  </r>
  <r>
    <n v="592"/>
    <d v="2023-01-24T00:00:00"/>
    <x v="0"/>
    <x v="0"/>
    <x v="55"/>
    <s v="Female"/>
    <n v="46"/>
    <x v="1"/>
    <x v="1"/>
    <n v="500"/>
    <n v="2000"/>
  </r>
  <r>
    <n v="912"/>
    <d v="2023-01-24T00:00:00"/>
    <x v="0"/>
    <x v="0"/>
    <x v="56"/>
    <s v="Male"/>
    <n v="51"/>
    <x v="1"/>
    <x v="0"/>
    <n v="50"/>
    <n v="150"/>
  </r>
  <r>
    <n v="134"/>
    <d v="2023-01-25T00:00:00"/>
    <x v="0"/>
    <x v="0"/>
    <x v="57"/>
    <s v="Male"/>
    <n v="49"/>
    <x v="2"/>
    <x v="2"/>
    <n v="50"/>
    <n v="50"/>
  </r>
  <r>
    <n v="288"/>
    <d v="2023-01-26T00:00:00"/>
    <x v="0"/>
    <x v="0"/>
    <x v="58"/>
    <s v="Male"/>
    <n v="28"/>
    <x v="0"/>
    <x v="1"/>
    <n v="30"/>
    <n v="120"/>
  </r>
  <r>
    <n v="323"/>
    <d v="2023-01-26T00:00:00"/>
    <x v="0"/>
    <x v="0"/>
    <x v="59"/>
    <s v="Female"/>
    <n v="29"/>
    <x v="1"/>
    <x v="0"/>
    <n v="300"/>
    <n v="900"/>
  </r>
  <r>
    <n v="618"/>
    <d v="2023-01-26T00:00:00"/>
    <x v="0"/>
    <x v="0"/>
    <x v="60"/>
    <s v="Female"/>
    <n v="27"/>
    <x v="1"/>
    <x v="2"/>
    <n v="50"/>
    <n v="50"/>
  </r>
  <r>
    <n v="720"/>
    <d v="2023-01-26T00:00:00"/>
    <x v="0"/>
    <x v="0"/>
    <x v="61"/>
    <s v="Female"/>
    <n v="56"/>
    <x v="1"/>
    <x v="0"/>
    <n v="500"/>
    <n v="1500"/>
  </r>
  <r>
    <n v="415"/>
    <d v="2023-01-27T00:00:00"/>
    <x v="0"/>
    <x v="0"/>
    <x v="62"/>
    <s v="Male"/>
    <n v="53"/>
    <x v="0"/>
    <x v="3"/>
    <n v="30"/>
    <n v="60"/>
  </r>
  <r>
    <n v="736"/>
    <d v="2023-01-27T00:00:00"/>
    <x v="0"/>
    <x v="0"/>
    <x v="63"/>
    <s v="Male"/>
    <n v="29"/>
    <x v="0"/>
    <x v="1"/>
    <n v="25"/>
    <n v="100"/>
  </r>
  <r>
    <n v="929"/>
    <d v="2023-01-27T00:00:00"/>
    <x v="0"/>
    <x v="0"/>
    <x v="64"/>
    <s v="Female"/>
    <n v="23"/>
    <x v="1"/>
    <x v="0"/>
    <n v="25"/>
    <n v="75"/>
  </r>
  <r>
    <n v="264"/>
    <d v="2023-01-28T00:00:00"/>
    <x v="0"/>
    <x v="0"/>
    <x v="65"/>
    <s v="Male"/>
    <n v="47"/>
    <x v="0"/>
    <x v="0"/>
    <n v="300"/>
    <n v="900"/>
  </r>
  <r>
    <n v="913"/>
    <d v="2023-01-28T00:00:00"/>
    <x v="0"/>
    <x v="0"/>
    <x v="66"/>
    <s v="Male"/>
    <n v="29"/>
    <x v="2"/>
    <x v="0"/>
    <n v="30"/>
    <n v="90"/>
  </r>
  <r>
    <n v="940"/>
    <d v="2023-01-28T00:00:00"/>
    <x v="0"/>
    <x v="0"/>
    <x v="67"/>
    <s v="Female"/>
    <n v="20"/>
    <x v="2"/>
    <x v="2"/>
    <n v="30"/>
    <n v="30"/>
  </r>
  <r>
    <n v="101"/>
    <d v="2023-01-29T00:00:00"/>
    <x v="0"/>
    <x v="0"/>
    <x v="68"/>
    <s v="Male"/>
    <n v="32"/>
    <x v="0"/>
    <x v="3"/>
    <n v="300"/>
    <n v="600"/>
  </r>
  <r>
    <n v="189"/>
    <d v="2023-01-30T00:00:00"/>
    <x v="0"/>
    <x v="0"/>
    <x v="69"/>
    <s v="Male"/>
    <n v="63"/>
    <x v="1"/>
    <x v="2"/>
    <n v="50"/>
    <n v="50"/>
  </r>
  <r>
    <n v="317"/>
    <d v="2023-01-30T00:00:00"/>
    <x v="0"/>
    <x v="0"/>
    <x v="70"/>
    <s v="Male"/>
    <n v="22"/>
    <x v="2"/>
    <x v="0"/>
    <n v="30"/>
    <n v="90"/>
  </r>
  <r>
    <n v="322"/>
    <d v="2023-01-30T00:00:00"/>
    <x v="0"/>
    <x v="0"/>
    <x v="71"/>
    <s v="Male"/>
    <n v="51"/>
    <x v="2"/>
    <x v="2"/>
    <n v="500"/>
    <n v="500"/>
  </r>
  <r>
    <n v="329"/>
    <d v="2023-01-30T00:00:00"/>
    <x v="0"/>
    <x v="0"/>
    <x v="72"/>
    <s v="Female"/>
    <n v="46"/>
    <x v="2"/>
    <x v="1"/>
    <n v="25"/>
    <n v="100"/>
  </r>
  <r>
    <n v="235"/>
    <d v="2023-01-31T00:00:00"/>
    <x v="0"/>
    <x v="0"/>
    <x v="73"/>
    <s v="Female"/>
    <n v="23"/>
    <x v="2"/>
    <x v="3"/>
    <n v="500"/>
    <n v="1000"/>
  </r>
  <r>
    <n v="300"/>
    <d v="2023-01-31T00:00:00"/>
    <x v="0"/>
    <x v="0"/>
    <x v="74"/>
    <s v="Female"/>
    <n v="19"/>
    <x v="2"/>
    <x v="1"/>
    <n v="50"/>
    <n v="200"/>
  </r>
  <r>
    <n v="964"/>
    <d v="2023-01-31T00:00:00"/>
    <x v="0"/>
    <x v="0"/>
    <x v="75"/>
    <s v="Male"/>
    <n v="24"/>
    <x v="0"/>
    <x v="0"/>
    <n v="300"/>
    <n v="900"/>
  </r>
  <r>
    <n v="269"/>
    <d v="2023-02-01T00:00:00"/>
    <x v="0"/>
    <x v="1"/>
    <x v="76"/>
    <s v="Male"/>
    <n v="25"/>
    <x v="0"/>
    <x v="1"/>
    <n v="500"/>
    <n v="2000"/>
  </r>
  <r>
    <n v="320"/>
    <d v="2023-02-01T00:00:00"/>
    <x v="0"/>
    <x v="1"/>
    <x v="77"/>
    <s v="Female"/>
    <n v="28"/>
    <x v="2"/>
    <x v="1"/>
    <n v="300"/>
    <n v="1200"/>
  </r>
  <r>
    <n v="673"/>
    <d v="2023-02-01T00:00:00"/>
    <x v="0"/>
    <x v="1"/>
    <x v="78"/>
    <s v="Female"/>
    <n v="43"/>
    <x v="0"/>
    <x v="0"/>
    <n v="500"/>
    <n v="1500"/>
  </r>
  <r>
    <n v="142"/>
    <d v="2023-02-02T00:00:00"/>
    <x v="0"/>
    <x v="1"/>
    <x v="79"/>
    <s v="Male"/>
    <n v="35"/>
    <x v="2"/>
    <x v="1"/>
    <n v="300"/>
    <n v="1200"/>
  </r>
  <r>
    <n v="223"/>
    <d v="2023-02-02T00:00:00"/>
    <x v="0"/>
    <x v="1"/>
    <x v="80"/>
    <s v="Female"/>
    <n v="64"/>
    <x v="0"/>
    <x v="2"/>
    <n v="25"/>
    <n v="25"/>
  </r>
  <r>
    <n v="666"/>
    <d v="2023-02-02T00:00:00"/>
    <x v="0"/>
    <x v="1"/>
    <x v="81"/>
    <s v="Male"/>
    <n v="51"/>
    <x v="2"/>
    <x v="0"/>
    <n v="50"/>
    <n v="150"/>
  </r>
  <r>
    <n v="107"/>
    <d v="2023-02-03T00:00:00"/>
    <x v="0"/>
    <x v="1"/>
    <x v="82"/>
    <s v="Female"/>
    <n v="21"/>
    <x v="0"/>
    <x v="1"/>
    <n v="300"/>
    <n v="1200"/>
  </r>
  <r>
    <n v="933"/>
    <d v="2023-02-03T00:00:00"/>
    <x v="0"/>
    <x v="1"/>
    <x v="83"/>
    <s v="Male"/>
    <n v="22"/>
    <x v="1"/>
    <x v="2"/>
    <n v="30"/>
    <n v="30"/>
  </r>
  <r>
    <n v="237"/>
    <d v="2023-02-04T00:00:00"/>
    <x v="0"/>
    <x v="1"/>
    <x v="84"/>
    <s v="Female"/>
    <n v="50"/>
    <x v="1"/>
    <x v="3"/>
    <n v="500"/>
    <n v="1000"/>
  </r>
  <r>
    <n v="335"/>
    <d v="2023-02-04T00:00:00"/>
    <x v="0"/>
    <x v="1"/>
    <x v="85"/>
    <s v="Female"/>
    <n v="47"/>
    <x v="1"/>
    <x v="1"/>
    <n v="30"/>
    <n v="120"/>
  </r>
  <r>
    <n v="63"/>
    <d v="2023-02-05T00:00:00"/>
    <x v="0"/>
    <x v="1"/>
    <x v="86"/>
    <s v="Male"/>
    <n v="57"/>
    <x v="2"/>
    <x v="3"/>
    <n v="25"/>
    <n v="50"/>
  </r>
  <r>
    <n v="195"/>
    <d v="2023-02-05T00:00:00"/>
    <x v="0"/>
    <x v="1"/>
    <x v="87"/>
    <s v="Male"/>
    <n v="52"/>
    <x v="0"/>
    <x v="2"/>
    <n v="30"/>
    <n v="30"/>
  </r>
  <r>
    <n v="333"/>
    <d v="2023-02-05T00:00:00"/>
    <x v="0"/>
    <x v="1"/>
    <x v="88"/>
    <s v="Female"/>
    <n v="54"/>
    <x v="2"/>
    <x v="1"/>
    <n v="300"/>
    <n v="1200"/>
  </r>
  <r>
    <n v="379"/>
    <d v="2023-02-05T00:00:00"/>
    <x v="0"/>
    <x v="1"/>
    <x v="89"/>
    <s v="Female"/>
    <n v="47"/>
    <x v="0"/>
    <x v="2"/>
    <n v="25"/>
    <n v="25"/>
  </r>
  <r>
    <n v="490"/>
    <d v="2023-02-05T00:00:00"/>
    <x v="0"/>
    <x v="1"/>
    <x v="90"/>
    <s v="Male"/>
    <n v="34"/>
    <x v="0"/>
    <x v="0"/>
    <n v="50"/>
    <n v="150"/>
  </r>
  <r>
    <n v="530"/>
    <d v="2023-02-05T00:00:00"/>
    <x v="0"/>
    <x v="1"/>
    <x v="91"/>
    <s v="Female"/>
    <n v="18"/>
    <x v="2"/>
    <x v="1"/>
    <n v="30"/>
    <n v="120"/>
  </r>
  <r>
    <n v="740"/>
    <d v="2023-02-05T00:00:00"/>
    <x v="0"/>
    <x v="1"/>
    <x v="92"/>
    <s v="Female"/>
    <n v="25"/>
    <x v="1"/>
    <x v="1"/>
    <n v="50"/>
    <n v="200"/>
  </r>
  <r>
    <n v="793"/>
    <d v="2023-02-05T00:00:00"/>
    <x v="0"/>
    <x v="1"/>
    <x v="93"/>
    <s v="Male"/>
    <n v="54"/>
    <x v="1"/>
    <x v="2"/>
    <n v="30"/>
    <n v="30"/>
  </r>
  <r>
    <n v="85"/>
    <d v="2023-02-06T00:00:00"/>
    <x v="0"/>
    <x v="1"/>
    <x v="94"/>
    <s v="Male"/>
    <n v="31"/>
    <x v="0"/>
    <x v="0"/>
    <n v="50"/>
    <n v="150"/>
  </r>
  <r>
    <n v="232"/>
    <d v="2023-02-06T00:00:00"/>
    <x v="0"/>
    <x v="1"/>
    <x v="95"/>
    <s v="Female"/>
    <n v="43"/>
    <x v="1"/>
    <x v="2"/>
    <n v="25"/>
    <n v="25"/>
  </r>
  <r>
    <n v="240"/>
    <d v="2023-02-06T00:00:00"/>
    <x v="0"/>
    <x v="1"/>
    <x v="96"/>
    <s v="Female"/>
    <n v="23"/>
    <x v="1"/>
    <x v="2"/>
    <n v="300"/>
    <n v="300"/>
  </r>
  <r>
    <n v="993"/>
    <d v="2023-02-06T00:00:00"/>
    <x v="0"/>
    <x v="1"/>
    <x v="97"/>
    <s v="Female"/>
    <n v="48"/>
    <x v="2"/>
    <x v="0"/>
    <n v="50"/>
    <n v="150"/>
  </r>
  <r>
    <n v="366"/>
    <d v="2023-02-07T00:00:00"/>
    <x v="0"/>
    <x v="1"/>
    <x v="98"/>
    <s v="Male"/>
    <n v="57"/>
    <x v="0"/>
    <x v="3"/>
    <n v="50"/>
    <n v="100"/>
  </r>
  <r>
    <n v="372"/>
    <d v="2023-02-07T00:00:00"/>
    <x v="0"/>
    <x v="1"/>
    <x v="99"/>
    <s v="Female"/>
    <n v="24"/>
    <x v="1"/>
    <x v="0"/>
    <n v="500"/>
    <n v="1500"/>
  </r>
  <r>
    <n v="596"/>
    <d v="2023-02-07T00:00:00"/>
    <x v="0"/>
    <x v="1"/>
    <x v="100"/>
    <s v="Female"/>
    <n v="64"/>
    <x v="2"/>
    <x v="2"/>
    <n v="300"/>
    <n v="300"/>
  </r>
  <r>
    <n v="936"/>
    <d v="2023-02-07T00:00:00"/>
    <x v="0"/>
    <x v="1"/>
    <x v="101"/>
    <s v="Male"/>
    <n v="57"/>
    <x v="1"/>
    <x v="1"/>
    <n v="50"/>
    <n v="200"/>
  </r>
  <r>
    <n v="284"/>
    <d v="2023-02-08T00:00:00"/>
    <x v="0"/>
    <x v="1"/>
    <x v="102"/>
    <s v="Male"/>
    <n v="43"/>
    <x v="0"/>
    <x v="1"/>
    <n v="50"/>
    <n v="200"/>
  </r>
  <r>
    <n v="434"/>
    <d v="2023-02-08T00:00:00"/>
    <x v="0"/>
    <x v="1"/>
    <x v="103"/>
    <s v="Female"/>
    <n v="43"/>
    <x v="2"/>
    <x v="3"/>
    <n v="25"/>
    <n v="50"/>
  </r>
  <r>
    <n v="775"/>
    <d v="2023-02-08T00:00:00"/>
    <x v="0"/>
    <x v="1"/>
    <x v="104"/>
    <s v="Female"/>
    <n v="46"/>
    <x v="2"/>
    <x v="1"/>
    <n v="25"/>
    <n v="100"/>
  </r>
  <r>
    <n v="977"/>
    <d v="2023-02-08T00:00:00"/>
    <x v="0"/>
    <x v="1"/>
    <x v="105"/>
    <s v="Female"/>
    <n v="35"/>
    <x v="2"/>
    <x v="0"/>
    <n v="25"/>
    <n v="75"/>
  </r>
  <r>
    <n v="649"/>
    <d v="2023-02-09T00:00:00"/>
    <x v="0"/>
    <x v="1"/>
    <x v="106"/>
    <s v="Female"/>
    <n v="58"/>
    <x v="0"/>
    <x v="3"/>
    <n v="300"/>
    <n v="600"/>
  </r>
  <r>
    <n v="54"/>
    <d v="2023-02-10T00:00:00"/>
    <x v="0"/>
    <x v="1"/>
    <x v="107"/>
    <s v="Female"/>
    <n v="38"/>
    <x v="2"/>
    <x v="0"/>
    <n v="500"/>
    <n v="1500"/>
  </r>
  <r>
    <n v="68"/>
    <d v="2023-02-10T00:00:00"/>
    <x v="0"/>
    <x v="1"/>
    <x v="108"/>
    <s v="Male"/>
    <n v="25"/>
    <x v="2"/>
    <x v="2"/>
    <n v="300"/>
    <n v="300"/>
  </r>
  <r>
    <n v="192"/>
    <d v="2023-02-10T00:00:00"/>
    <x v="0"/>
    <x v="1"/>
    <x v="109"/>
    <s v="Male"/>
    <n v="62"/>
    <x v="1"/>
    <x v="3"/>
    <n v="50"/>
    <n v="100"/>
  </r>
  <r>
    <n v="331"/>
    <d v="2023-02-11T00:00:00"/>
    <x v="0"/>
    <x v="1"/>
    <x v="110"/>
    <s v="Male"/>
    <n v="28"/>
    <x v="2"/>
    <x v="0"/>
    <n v="30"/>
    <n v="90"/>
  </r>
  <r>
    <n v="346"/>
    <d v="2023-02-11T00:00:00"/>
    <x v="0"/>
    <x v="1"/>
    <x v="111"/>
    <s v="Male"/>
    <n v="59"/>
    <x v="0"/>
    <x v="3"/>
    <n v="500"/>
    <n v="1000"/>
  </r>
  <r>
    <n v="657"/>
    <d v="2023-02-11T00:00:00"/>
    <x v="0"/>
    <x v="1"/>
    <x v="112"/>
    <s v="Male"/>
    <n v="40"/>
    <x v="0"/>
    <x v="2"/>
    <n v="25"/>
    <n v="25"/>
  </r>
  <r>
    <n v="732"/>
    <d v="2023-02-11T00:00:00"/>
    <x v="0"/>
    <x v="1"/>
    <x v="113"/>
    <s v="Male"/>
    <n v="61"/>
    <x v="2"/>
    <x v="3"/>
    <n v="500"/>
    <n v="1000"/>
  </r>
  <r>
    <n v="972"/>
    <d v="2023-02-11T00:00:00"/>
    <x v="0"/>
    <x v="1"/>
    <x v="114"/>
    <s v="Male"/>
    <n v="49"/>
    <x v="1"/>
    <x v="1"/>
    <n v="25"/>
    <n v="100"/>
  </r>
  <r>
    <n v="714"/>
    <d v="2023-02-12T00:00:00"/>
    <x v="0"/>
    <x v="1"/>
    <x v="115"/>
    <s v="Female"/>
    <n v="18"/>
    <x v="0"/>
    <x v="2"/>
    <n v="500"/>
    <n v="500"/>
  </r>
  <r>
    <n v="193"/>
    <d v="2023-02-13T00:00:00"/>
    <x v="0"/>
    <x v="1"/>
    <x v="116"/>
    <s v="Male"/>
    <n v="35"/>
    <x v="1"/>
    <x v="0"/>
    <n v="500"/>
    <n v="1500"/>
  </r>
  <r>
    <n v="577"/>
    <d v="2023-02-13T00:00:00"/>
    <x v="0"/>
    <x v="1"/>
    <x v="117"/>
    <s v="Male"/>
    <n v="21"/>
    <x v="1"/>
    <x v="1"/>
    <n v="500"/>
    <n v="2000"/>
  </r>
  <r>
    <n v="848"/>
    <d v="2023-02-13T00:00:00"/>
    <x v="0"/>
    <x v="1"/>
    <x v="118"/>
    <s v="Female"/>
    <n v="63"/>
    <x v="0"/>
    <x v="0"/>
    <n v="25"/>
    <n v="75"/>
  </r>
  <r>
    <n v="945"/>
    <d v="2023-02-13T00:00:00"/>
    <x v="0"/>
    <x v="1"/>
    <x v="119"/>
    <s v="Male"/>
    <n v="30"/>
    <x v="1"/>
    <x v="2"/>
    <n v="25"/>
    <n v="25"/>
  </r>
  <r>
    <n v="11"/>
    <d v="2023-02-14T00:00:00"/>
    <x v="0"/>
    <x v="1"/>
    <x v="120"/>
    <s v="Male"/>
    <n v="23"/>
    <x v="0"/>
    <x v="3"/>
    <n v="50"/>
    <n v="100"/>
  </r>
  <r>
    <n v="821"/>
    <d v="2023-02-14T00:00:00"/>
    <x v="0"/>
    <x v="1"/>
    <x v="121"/>
    <s v="Male"/>
    <n v="49"/>
    <x v="2"/>
    <x v="2"/>
    <n v="300"/>
    <n v="300"/>
  </r>
  <r>
    <n v="133"/>
    <d v="2023-02-16T00:00:00"/>
    <x v="0"/>
    <x v="1"/>
    <x v="122"/>
    <s v="Male"/>
    <n v="20"/>
    <x v="2"/>
    <x v="0"/>
    <n v="300"/>
    <n v="900"/>
  </r>
  <r>
    <n v="16"/>
    <d v="2023-02-17T00:00:00"/>
    <x v="0"/>
    <x v="1"/>
    <x v="123"/>
    <s v="Male"/>
    <n v="19"/>
    <x v="0"/>
    <x v="0"/>
    <n v="500"/>
    <n v="1500"/>
  </r>
  <r>
    <n v="42"/>
    <d v="2023-02-17T00:00:00"/>
    <x v="0"/>
    <x v="1"/>
    <x v="124"/>
    <s v="Male"/>
    <n v="22"/>
    <x v="0"/>
    <x v="0"/>
    <n v="300"/>
    <n v="900"/>
  </r>
  <r>
    <n v="292"/>
    <d v="2023-02-17T00:00:00"/>
    <x v="0"/>
    <x v="1"/>
    <x v="125"/>
    <s v="Male"/>
    <n v="20"/>
    <x v="1"/>
    <x v="1"/>
    <n v="300"/>
    <n v="1200"/>
  </r>
  <r>
    <n v="416"/>
    <d v="2023-02-17T00:00:00"/>
    <x v="0"/>
    <x v="1"/>
    <x v="126"/>
    <s v="Male"/>
    <n v="53"/>
    <x v="2"/>
    <x v="1"/>
    <n v="500"/>
    <n v="2000"/>
  </r>
  <r>
    <n v="584"/>
    <d v="2023-02-17T00:00:00"/>
    <x v="0"/>
    <x v="1"/>
    <x v="127"/>
    <s v="Female"/>
    <n v="27"/>
    <x v="1"/>
    <x v="1"/>
    <n v="50"/>
    <n v="200"/>
  </r>
  <r>
    <n v="861"/>
    <d v="2023-02-17T00:00:00"/>
    <x v="0"/>
    <x v="1"/>
    <x v="128"/>
    <s v="Female"/>
    <n v="41"/>
    <x v="0"/>
    <x v="0"/>
    <n v="30"/>
    <n v="90"/>
  </r>
  <r>
    <n v="256"/>
    <d v="2023-02-18T00:00:00"/>
    <x v="0"/>
    <x v="1"/>
    <x v="129"/>
    <s v="Male"/>
    <n v="23"/>
    <x v="0"/>
    <x v="3"/>
    <n v="500"/>
    <n v="1000"/>
  </r>
  <r>
    <n v="44"/>
    <d v="2023-02-19T00:00:00"/>
    <x v="0"/>
    <x v="1"/>
    <x v="130"/>
    <s v="Female"/>
    <n v="22"/>
    <x v="0"/>
    <x v="2"/>
    <n v="25"/>
    <n v="25"/>
  </r>
  <r>
    <n v="257"/>
    <d v="2023-02-19T00:00:00"/>
    <x v="0"/>
    <x v="1"/>
    <x v="131"/>
    <s v="Male"/>
    <n v="19"/>
    <x v="1"/>
    <x v="1"/>
    <n v="500"/>
    <n v="2000"/>
  </r>
  <r>
    <n v="268"/>
    <d v="2023-02-20T00:00:00"/>
    <x v="0"/>
    <x v="1"/>
    <x v="132"/>
    <s v="Female"/>
    <n v="28"/>
    <x v="2"/>
    <x v="2"/>
    <n v="30"/>
    <n v="30"/>
  </r>
  <r>
    <n v="287"/>
    <d v="2023-02-20T00:00:00"/>
    <x v="0"/>
    <x v="1"/>
    <x v="133"/>
    <s v="Male"/>
    <n v="54"/>
    <x v="0"/>
    <x v="1"/>
    <n v="25"/>
    <n v="100"/>
  </r>
  <r>
    <n v="966"/>
    <d v="2023-02-20T00:00:00"/>
    <x v="0"/>
    <x v="1"/>
    <x v="134"/>
    <s v="Male"/>
    <n v="60"/>
    <x v="2"/>
    <x v="3"/>
    <n v="500"/>
    <n v="1000"/>
  </r>
  <r>
    <n v="70"/>
    <d v="2023-02-21T00:00:00"/>
    <x v="0"/>
    <x v="1"/>
    <x v="135"/>
    <s v="Female"/>
    <n v="43"/>
    <x v="0"/>
    <x v="2"/>
    <n v="300"/>
    <n v="300"/>
  </r>
  <r>
    <n v="371"/>
    <d v="2023-02-21T00:00:00"/>
    <x v="0"/>
    <x v="1"/>
    <x v="136"/>
    <s v="Female"/>
    <n v="20"/>
    <x v="1"/>
    <x v="2"/>
    <n v="25"/>
    <n v="25"/>
  </r>
  <r>
    <n v="900"/>
    <d v="2023-02-21T00:00:00"/>
    <x v="0"/>
    <x v="1"/>
    <x v="137"/>
    <s v="Male"/>
    <n v="21"/>
    <x v="0"/>
    <x v="3"/>
    <n v="30"/>
    <n v="60"/>
  </r>
  <r>
    <n v="8"/>
    <d v="2023-02-22T00:00:00"/>
    <x v="0"/>
    <x v="1"/>
    <x v="138"/>
    <s v="Male"/>
    <n v="30"/>
    <x v="2"/>
    <x v="1"/>
    <n v="25"/>
    <n v="100"/>
  </r>
  <r>
    <n v="41"/>
    <d v="2023-02-22T00:00:00"/>
    <x v="0"/>
    <x v="1"/>
    <x v="139"/>
    <s v="Male"/>
    <n v="34"/>
    <x v="0"/>
    <x v="3"/>
    <n v="25"/>
    <n v="50"/>
  </r>
  <r>
    <n v="454"/>
    <d v="2023-02-22T00:00:00"/>
    <x v="0"/>
    <x v="1"/>
    <x v="140"/>
    <s v="Female"/>
    <n v="46"/>
    <x v="1"/>
    <x v="2"/>
    <n v="25"/>
    <n v="25"/>
  </r>
  <r>
    <n v="780"/>
    <d v="2023-02-22T00:00:00"/>
    <x v="0"/>
    <x v="1"/>
    <x v="141"/>
    <s v="Male"/>
    <n v="52"/>
    <x v="2"/>
    <x v="3"/>
    <n v="25"/>
    <n v="50"/>
  </r>
  <r>
    <n v="920"/>
    <d v="2023-02-22T00:00:00"/>
    <x v="0"/>
    <x v="1"/>
    <x v="142"/>
    <s v="Female"/>
    <n v="28"/>
    <x v="1"/>
    <x v="0"/>
    <n v="25"/>
    <n v="75"/>
  </r>
  <r>
    <n v="396"/>
    <d v="2023-02-23T00:00:00"/>
    <x v="0"/>
    <x v="1"/>
    <x v="143"/>
    <s v="Female"/>
    <n v="55"/>
    <x v="1"/>
    <x v="2"/>
    <n v="30"/>
    <n v="30"/>
  </r>
  <r>
    <n v="168"/>
    <d v="2023-02-24T00:00:00"/>
    <x v="0"/>
    <x v="1"/>
    <x v="144"/>
    <s v="Male"/>
    <n v="53"/>
    <x v="0"/>
    <x v="2"/>
    <n v="300"/>
    <n v="300"/>
  </r>
  <r>
    <n v="400"/>
    <d v="2023-02-24T00:00:00"/>
    <x v="0"/>
    <x v="1"/>
    <x v="145"/>
    <s v="Male"/>
    <n v="53"/>
    <x v="0"/>
    <x v="1"/>
    <n v="50"/>
    <n v="200"/>
  </r>
  <r>
    <n v="611"/>
    <d v="2023-02-24T00:00:00"/>
    <x v="0"/>
    <x v="1"/>
    <x v="146"/>
    <s v="Male"/>
    <n v="51"/>
    <x v="1"/>
    <x v="0"/>
    <n v="500"/>
    <n v="1500"/>
  </r>
  <r>
    <n v="800"/>
    <d v="2023-02-24T00:00:00"/>
    <x v="0"/>
    <x v="1"/>
    <x v="147"/>
    <s v="Male"/>
    <n v="32"/>
    <x v="0"/>
    <x v="1"/>
    <n v="300"/>
    <n v="1200"/>
  </r>
  <r>
    <n v="272"/>
    <d v="2023-02-25T00:00:00"/>
    <x v="0"/>
    <x v="1"/>
    <x v="148"/>
    <s v="Female"/>
    <n v="61"/>
    <x v="2"/>
    <x v="3"/>
    <n v="50"/>
    <n v="100"/>
  </r>
  <r>
    <n v="473"/>
    <d v="2023-02-25T00:00:00"/>
    <x v="0"/>
    <x v="1"/>
    <x v="149"/>
    <s v="Male"/>
    <n v="64"/>
    <x v="1"/>
    <x v="2"/>
    <n v="50"/>
    <n v="50"/>
  </r>
  <r>
    <n v="506"/>
    <d v="2023-02-25T00:00:00"/>
    <x v="0"/>
    <x v="1"/>
    <x v="150"/>
    <s v="Male"/>
    <n v="34"/>
    <x v="1"/>
    <x v="0"/>
    <n v="500"/>
    <n v="1500"/>
  </r>
  <r>
    <n v="766"/>
    <d v="2023-02-25T00:00:00"/>
    <x v="0"/>
    <x v="1"/>
    <x v="151"/>
    <s v="Male"/>
    <n v="38"/>
    <x v="2"/>
    <x v="0"/>
    <n v="300"/>
    <n v="900"/>
  </r>
  <r>
    <n v="135"/>
    <d v="2023-02-26T00:00:00"/>
    <x v="0"/>
    <x v="1"/>
    <x v="152"/>
    <s v="Male"/>
    <n v="20"/>
    <x v="0"/>
    <x v="3"/>
    <n v="25"/>
    <n v="50"/>
  </r>
  <r>
    <n v="2"/>
    <d v="2023-02-27T00:00:00"/>
    <x v="0"/>
    <x v="1"/>
    <x v="153"/>
    <s v="Female"/>
    <n v="26"/>
    <x v="0"/>
    <x v="3"/>
    <n v="500"/>
    <n v="1000"/>
  </r>
  <r>
    <n v="158"/>
    <d v="2023-02-27T00:00:00"/>
    <x v="0"/>
    <x v="1"/>
    <x v="154"/>
    <s v="Female"/>
    <n v="44"/>
    <x v="2"/>
    <x v="3"/>
    <n v="300"/>
    <n v="600"/>
  </r>
  <r>
    <n v="185"/>
    <d v="2023-02-27T00:00:00"/>
    <x v="0"/>
    <x v="1"/>
    <x v="155"/>
    <s v="Male"/>
    <n v="24"/>
    <x v="0"/>
    <x v="2"/>
    <n v="25"/>
    <n v="25"/>
  </r>
  <r>
    <n v="433"/>
    <d v="2023-02-27T00:00:00"/>
    <x v="0"/>
    <x v="1"/>
    <x v="156"/>
    <s v="Male"/>
    <n v="29"/>
    <x v="1"/>
    <x v="1"/>
    <n v="50"/>
    <n v="200"/>
  </r>
  <r>
    <n v="152"/>
    <d v="2023-02-28T00:00:00"/>
    <x v="0"/>
    <x v="1"/>
    <x v="157"/>
    <s v="Male"/>
    <n v="43"/>
    <x v="2"/>
    <x v="1"/>
    <n v="500"/>
    <n v="2000"/>
  </r>
  <r>
    <n v="753"/>
    <d v="2023-02-28T00:00:00"/>
    <x v="0"/>
    <x v="1"/>
    <x v="158"/>
    <s v="Female"/>
    <n v="32"/>
    <x v="0"/>
    <x v="2"/>
    <n v="30"/>
    <n v="30"/>
  </r>
  <r>
    <n v="763"/>
    <d v="2023-02-28T00:00:00"/>
    <x v="0"/>
    <x v="1"/>
    <x v="159"/>
    <s v="Male"/>
    <n v="34"/>
    <x v="0"/>
    <x v="3"/>
    <n v="25"/>
    <n v="50"/>
  </r>
  <r>
    <n v="932"/>
    <d v="2023-02-28T00:00:00"/>
    <x v="0"/>
    <x v="1"/>
    <x v="160"/>
    <s v="Female"/>
    <n v="45"/>
    <x v="1"/>
    <x v="1"/>
    <n v="25"/>
    <n v="100"/>
  </r>
  <r>
    <n v="399"/>
    <d v="2023-03-01T00:00:00"/>
    <x v="0"/>
    <x v="2"/>
    <x v="161"/>
    <s v="Female"/>
    <n v="64"/>
    <x v="1"/>
    <x v="3"/>
    <n v="30"/>
    <n v="60"/>
  </r>
  <r>
    <n v="500"/>
    <d v="2023-03-01T00:00:00"/>
    <x v="0"/>
    <x v="2"/>
    <x v="162"/>
    <s v="Female"/>
    <n v="60"/>
    <x v="1"/>
    <x v="1"/>
    <n v="25"/>
    <n v="100"/>
  </r>
  <r>
    <n v="514"/>
    <d v="2023-03-01T00:00:00"/>
    <x v="0"/>
    <x v="2"/>
    <x v="163"/>
    <s v="Female"/>
    <n v="18"/>
    <x v="2"/>
    <x v="2"/>
    <n v="300"/>
    <n v="300"/>
  </r>
  <r>
    <n v="947"/>
    <d v="2023-03-02T00:00:00"/>
    <x v="0"/>
    <x v="2"/>
    <x v="164"/>
    <s v="Male"/>
    <n v="50"/>
    <x v="1"/>
    <x v="2"/>
    <n v="300"/>
    <n v="300"/>
  </r>
  <r>
    <n v="220"/>
    <d v="2023-03-03T00:00:00"/>
    <x v="0"/>
    <x v="2"/>
    <x v="165"/>
    <s v="Male"/>
    <n v="64"/>
    <x v="1"/>
    <x v="2"/>
    <n v="500"/>
    <n v="500"/>
  </r>
  <r>
    <n v="339"/>
    <d v="2023-03-03T00:00:00"/>
    <x v="0"/>
    <x v="2"/>
    <x v="166"/>
    <s v="Female"/>
    <n v="22"/>
    <x v="2"/>
    <x v="3"/>
    <n v="25"/>
    <n v="50"/>
  </r>
  <r>
    <n v="785"/>
    <d v="2023-03-03T00:00:00"/>
    <x v="0"/>
    <x v="2"/>
    <x v="167"/>
    <s v="Female"/>
    <n v="31"/>
    <x v="1"/>
    <x v="1"/>
    <n v="50"/>
    <n v="200"/>
  </r>
  <r>
    <n v="885"/>
    <d v="2023-03-03T00:00:00"/>
    <x v="0"/>
    <x v="2"/>
    <x v="168"/>
    <s v="Female"/>
    <n v="52"/>
    <x v="0"/>
    <x v="1"/>
    <n v="30"/>
    <n v="120"/>
  </r>
  <r>
    <n v="888"/>
    <d v="2023-03-03T00:00:00"/>
    <x v="0"/>
    <x v="2"/>
    <x v="169"/>
    <s v="Female"/>
    <n v="52"/>
    <x v="2"/>
    <x v="1"/>
    <n v="25"/>
    <n v="100"/>
  </r>
  <r>
    <n v="621"/>
    <d v="2023-03-04T00:00:00"/>
    <x v="0"/>
    <x v="2"/>
    <x v="170"/>
    <s v="Female"/>
    <n v="40"/>
    <x v="1"/>
    <x v="3"/>
    <n v="500"/>
    <n v="1000"/>
  </r>
  <r>
    <n v="52"/>
    <d v="2023-03-05T00:00:00"/>
    <x v="0"/>
    <x v="2"/>
    <x v="171"/>
    <s v="Female"/>
    <n v="36"/>
    <x v="1"/>
    <x v="2"/>
    <n v="300"/>
    <n v="300"/>
  </r>
  <r>
    <n v="536"/>
    <d v="2023-03-05T00:00:00"/>
    <x v="0"/>
    <x v="2"/>
    <x v="172"/>
    <s v="Female"/>
    <n v="55"/>
    <x v="1"/>
    <x v="1"/>
    <n v="30"/>
    <n v="120"/>
  </r>
  <r>
    <n v="197"/>
    <d v="2023-03-06T00:00:00"/>
    <x v="0"/>
    <x v="2"/>
    <x v="173"/>
    <s v="Female"/>
    <n v="42"/>
    <x v="0"/>
    <x v="1"/>
    <n v="50"/>
    <n v="200"/>
  </r>
  <r>
    <n v="750"/>
    <d v="2023-03-06T00:00:00"/>
    <x v="0"/>
    <x v="2"/>
    <x v="174"/>
    <s v="Female"/>
    <n v="35"/>
    <x v="0"/>
    <x v="0"/>
    <n v="25"/>
    <n v="75"/>
  </r>
  <r>
    <n v="910"/>
    <d v="2023-03-06T00:00:00"/>
    <x v="0"/>
    <x v="2"/>
    <x v="175"/>
    <s v="Female"/>
    <n v="20"/>
    <x v="1"/>
    <x v="0"/>
    <n v="50"/>
    <n v="150"/>
  </r>
  <r>
    <n v="917"/>
    <d v="2023-03-06T00:00:00"/>
    <x v="0"/>
    <x v="2"/>
    <x v="176"/>
    <s v="Female"/>
    <n v="57"/>
    <x v="2"/>
    <x v="1"/>
    <n v="50"/>
    <n v="200"/>
  </r>
  <r>
    <n v="198"/>
    <d v="2023-03-07T00:00:00"/>
    <x v="0"/>
    <x v="2"/>
    <x v="177"/>
    <s v="Female"/>
    <n v="54"/>
    <x v="1"/>
    <x v="0"/>
    <n v="300"/>
    <n v="900"/>
  </r>
  <r>
    <n v="444"/>
    <d v="2023-03-07T00:00:00"/>
    <x v="0"/>
    <x v="2"/>
    <x v="178"/>
    <s v="Female"/>
    <n v="61"/>
    <x v="0"/>
    <x v="0"/>
    <n v="30"/>
    <n v="90"/>
  </r>
  <r>
    <n v="547"/>
    <d v="2023-03-07T00:00:00"/>
    <x v="0"/>
    <x v="2"/>
    <x v="179"/>
    <s v="Male"/>
    <n v="63"/>
    <x v="0"/>
    <x v="1"/>
    <n v="500"/>
    <n v="2000"/>
  </r>
  <r>
    <n v="705"/>
    <d v="2023-03-07T00:00:00"/>
    <x v="0"/>
    <x v="2"/>
    <x v="180"/>
    <s v="Male"/>
    <n v="60"/>
    <x v="2"/>
    <x v="3"/>
    <n v="25"/>
    <n v="50"/>
  </r>
  <r>
    <n v="423"/>
    <d v="2023-03-08T00:00:00"/>
    <x v="0"/>
    <x v="2"/>
    <x v="181"/>
    <s v="Female"/>
    <n v="27"/>
    <x v="0"/>
    <x v="2"/>
    <n v="25"/>
    <n v="25"/>
  </r>
  <r>
    <n v="248"/>
    <d v="2023-03-09T00:00:00"/>
    <x v="0"/>
    <x v="2"/>
    <x v="182"/>
    <s v="Male"/>
    <n v="26"/>
    <x v="0"/>
    <x v="0"/>
    <n v="300"/>
    <n v="900"/>
  </r>
  <r>
    <n v="360"/>
    <d v="2023-03-09T00:00:00"/>
    <x v="0"/>
    <x v="2"/>
    <x v="183"/>
    <s v="Male"/>
    <n v="42"/>
    <x v="0"/>
    <x v="1"/>
    <n v="25"/>
    <n v="100"/>
  </r>
  <r>
    <n v="377"/>
    <d v="2023-03-09T00:00:00"/>
    <x v="0"/>
    <x v="2"/>
    <x v="184"/>
    <s v="Female"/>
    <n v="46"/>
    <x v="0"/>
    <x v="1"/>
    <n v="50"/>
    <n v="200"/>
  </r>
  <r>
    <n v="397"/>
    <d v="2023-03-10T00:00:00"/>
    <x v="0"/>
    <x v="2"/>
    <x v="185"/>
    <s v="Female"/>
    <n v="30"/>
    <x v="1"/>
    <x v="2"/>
    <n v="25"/>
    <n v="25"/>
  </r>
  <r>
    <n v="623"/>
    <d v="2023-03-10T00:00:00"/>
    <x v="0"/>
    <x v="2"/>
    <x v="186"/>
    <s v="Male"/>
    <n v="34"/>
    <x v="0"/>
    <x v="0"/>
    <n v="50"/>
    <n v="150"/>
  </r>
  <r>
    <n v="717"/>
    <d v="2023-03-11T00:00:00"/>
    <x v="0"/>
    <x v="2"/>
    <x v="187"/>
    <s v="Male"/>
    <n v="57"/>
    <x v="0"/>
    <x v="2"/>
    <n v="500"/>
    <n v="500"/>
  </r>
  <r>
    <n v="130"/>
    <d v="2023-03-12T00:00:00"/>
    <x v="0"/>
    <x v="2"/>
    <x v="188"/>
    <s v="Female"/>
    <n v="57"/>
    <x v="0"/>
    <x v="2"/>
    <n v="500"/>
    <n v="500"/>
  </r>
  <r>
    <n v="658"/>
    <d v="2023-03-12T00:00:00"/>
    <x v="0"/>
    <x v="2"/>
    <x v="189"/>
    <s v="Male"/>
    <n v="59"/>
    <x v="0"/>
    <x v="2"/>
    <n v="25"/>
    <n v="25"/>
  </r>
  <r>
    <n v="7"/>
    <d v="2023-03-13T00:00:00"/>
    <x v="0"/>
    <x v="2"/>
    <x v="190"/>
    <s v="Male"/>
    <n v="46"/>
    <x v="0"/>
    <x v="3"/>
    <n v="25"/>
    <n v="50"/>
  </r>
  <r>
    <n v="119"/>
    <d v="2023-03-13T00:00:00"/>
    <x v="0"/>
    <x v="2"/>
    <x v="191"/>
    <s v="Female"/>
    <n v="60"/>
    <x v="0"/>
    <x v="0"/>
    <n v="50"/>
    <n v="150"/>
  </r>
  <r>
    <n v="278"/>
    <d v="2023-03-13T00:00:00"/>
    <x v="0"/>
    <x v="2"/>
    <x v="192"/>
    <s v="Female"/>
    <n v="37"/>
    <x v="0"/>
    <x v="1"/>
    <n v="25"/>
    <n v="100"/>
  </r>
  <r>
    <n v="117"/>
    <d v="2023-03-15T00:00:00"/>
    <x v="0"/>
    <x v="2"/>
    <x v="193"/>
    <s v="Male"/>
    <n v="19"/>
    <x v="2"/>
    <x v="3"/>
    <n v="500"/>
    <n v="1000"/>
  </r>
  <r>
    <n v="442"/>
    <d v="2023-03-17T00:00:00"/>
    <x v="0"/>
    <x v="2"/>
    <x v="194"/>
    <s v="Female"/>
    <n v="60"/>
    <x v="0"/>
    <x v="1"/>
    <n v="25"/>
    <n v="100"/>
  </r>
  <r>
    <n v="590"/>
    <d v="2023-03-17T00:00:00"/>
    <x v="0"/>
    <x v="2"/>
    <x v="195"/>
    <s v="Male"/>
    <n v="36"/>
    <x v="0"/>
    <x v="0"/>
    <n v="300"/>
    <n v="900"/>
  </r>
  <r>
    <n v="607"/>
    <d v="2023-03-17T00:00:00"/>
    <x v="0"/>
    <x v="2"/>
    <x v="196"/>
    <s v="Male"/>
    <n v="54"/>
    <x v="0"/>
    <x v="0"/>
    <n v="25"/>
    <n v="75"/>
  </r>
  <r>
    <n v="436"/>
    <d v="2023-03-18T00:00:00"/>
    <x v="0"/>
    <x v="2"/>
    <x v="197"/>
    <s v="Female"/>
    <n v="57"/>
    <x v="0"/>
    <x v="1"/>
    <n v="30"/>
    <n v="120"/>
  </r>
  <r>
    <n v="942"/>
    <d v="2023-03-18T00:00:00"/>
    <x v="0"/>
    <x v="2"/>
    <x v="198"/>
    <s v="Male"/>
    <n v="51"/>
    <x v="0"/>
    <x v="0"/>
    <n v="500"/>
    <n v="1500"/>
  </r>
  <r>
    <n v="659"/>
    <d v="2023-03-19T00:00:00"/>
    <x v="0"/>
    <x v="2"/>
    <x v="199"/>
    <s v="Female"/>
    <n v="39"/>
    <x v="2"/>
    <x v="2"/>
    <n v="30"/>
    <n v="30"/>
  </r>
  <r>
    <n v="941"/>
    <d v="2023-03-19T00:00:00"/>
    <x v="0"/>
    <x v="2"/>
    <x v="200"/>
    <s v="Female"/>
    <n v="57"/>
    <x v="0"/>
    <x v="3"/>
    <n v="25"/>
    <n v="50"/>
  </r>
  <r>
    <n v="136"/>
    <d v="2023-03-20T00:00:00"/>
    <x v="0"/>
    <x v="2"/>
    <x v="201"/>
    <s v="Male"/>
    <n v="44"/>
    <x v="2"/>
    <x v="3"/>
    <n v="300"/>
    <n v="600"/>
  </r>
  <r>
    <n v="175"/>
    <d v="2023-03-20T00:00:00"/>
    <x v="0"/>
    <x v="2"/>
    <x v="202"/>
    <s v="Female"/>
    <n v="31"/>
    <x v="2"/>
    <x v="1"/>
    <n v="25"/>
    <n v="100"/>
  </r>
  <r>
    <n v="663"/>
    <d v="2023-03-20T00:00:00"/>
    <x v="0"/>
    <x v="2"/>
    <x v="203"/>
    <s v="Male"/>
    <n v="23"/>
    <x v="0"/>
    <x v="1"/>
    <n v="300"/>
    <n v="1200"/>
  </r>
  <r>
    <n v="748"/>
    <d v="2023-03-20T00:00:00"/>
    <x v="0"/>
    <x v="2"/>
    <x v="204"/>
    <s v="Male"/>
    <n v="25"/>
    <x v="0"/>
    <x v="0"/>
    <n v="50"/>
    <n v="150"/>
  </r>
  <r>
    <n v="806"/>
    <d v="2023-03-20T00:00:00"/>
    <x v="0"/>
    <x v="2"/>
    <x v="205"/>
    <s v="Female"/>
    <n v="35"/>
    <x v="1"/>
    <x v="0"/>
    <n v="300"/>
    <n v="900"/>
  </r>
  <r>
    <n v="38"/>
    <d v="2023-03-21T00:00:00"/>
    <x v="0"/>
    <x v="2"/>
    <x v="206"/>
    <s v="Male"/>
    <n v="38"/>
    <x v="1"/>
    <x v="1"/>
    <n v="50"/>
    <n v="200"/>
  </r>
  <r>
    <n v="313"/>
    <d v="2023-03-21T00:00:00"/>
    <x v="0"/>
    <x v="2"/>
    <x v="207"/>
    <s v="Female"/>
    <n v="55"/>
    <x v="1"/>
    <x v="0"/>
    <n v="500"/>
    <n v="1500"/>
  </r>
  <r>
    <n v="402"/>
    <d v="2023-03-21T00:00:00"/>
    <x v="0"/>
    <x v="2"/>
    <x v="208"/>
    <s v="Female"/>
    <n v="41"/>
    <x v="0"/>
    <x v="3"/>
    <n v="300"/>
    <n v="600"/>
  </r>
  <r>
    <n v="459"/>
    <d v="2023-03-21T00:00:00"/>
    <x v="0"/>
    <x v="2"/>
    <x v="209"/>
    <s v="Male"/>
    <n v="28"/>
    <x v="0"/>
    <x v="1"/>
    <n v="300"/>
    <n v="1200"/>
  </r>
  <r>
    <n v="161"/>
    <d v="2023-03-22T00:00:00"/>
    <x v="0"/>
    <x v="2"/>
    <x v="210"/>
    <s v="Male"/>
    <n v="64"/>
    <x v="1"/>
    <x v="3"/>
    <n v="500"/>
    <n v="1000"/>
  </r>
  <r>
    <n v="328"/>
    <d v="2023-03-22T00:00:00"/>
    <x v="0"/>
    <x v="2"/>
    <x v="211"/>
    <s v="Male"/>
    <n v="39"/>
    <x v="1"/>
    <x v="3"/>
    <n v="50"/>
    <n v="100"/>
  </r>
  <r>
    <n v="383"/>
    <d v="2023-03-22T00:00:00"/>
    <x v="0"/>
    <x v="2"/>
    <x v="212"/>
    <s v="Female"/>
    <n v="46"/>
    <x v="1"/>
    <x v="0"/>
    <n v="30"/>
    <n v="90"/>
  </r>
  <r>
    <n v="973"/>
    <d v="2023-03-22T00:00:00"/>
    <x v="0"/>
    <x v="2"/>
    <x v="213"/>
    <s v="Male"/>
    <n v="60"/>
    <x v="0"/>
    <x v="2"/>
    <n v="50"/>
    <n v="50"/>
  </r>
  <r>
    <n v="978"/>
    <d v="2023-03-22T00:00:00"/>
    <x v="0"/>
    <x v="2"/>
    <x v="214"/>
    <s v="Female"/>
    <n v="53"/>
    <x v="0"/>
    <x v="0"/>
    <n v="50"/>
    <n v="150"/>
  </r>
  <r>
    <n v="33"/>
    <d v="2023-03-23T00:00:00"/>
    <x v="0"/>
    <x v="2"/>
    <x v="215"/>
    <s v="Female"/>
    <n v="50"/>
    <x v="2"/>
    <x v="3"/>
    <n v="50"/>
    <n v="100"/>
  </r>
  <r>
    <n v="138"/>
    <d v="2023-03-23T00:00:00"/>
    <x v="0"/>
    <x v="2"/>
    <x v="216"/>
    <s v="Male"/>
    <n v="49"/>
    <x v="0"/>
    <x v="1"/>
    <n v="50"/>
    <n v="200"/>
  </r>
  <r>
    <n v="471"/>
    <d v="2023-03-23T00:00:00"/>
    <x v="0"/>
    <x v="2"/>
    <x v="217"/>
    <s v="Male"/>
    <n v="32"/>
    <x v="0"/>
    <x v="0"/>
    <n v="50"/>
    <n v="150"/>
  </r>
  <r>
    <n v="636"/>
    <d v="2023-03-23T00:00:00"/>
    <x v="0"/>
    <x v="2"/>
    <x v="218"/>
    <s v="Female"/>
    <n v="21"/>
    <x v="1"/>
    <x v="0"/>
    <n v="500"/>
    <n v="1500"/>
  </r>
  <r>
    <n v="177"/>
    <d v="2023-03-24T00:00:00"/>
    <x v="0"/>
    <x v="2"/>
    <x v="219"/>
    <s v="Male"/>
    <n v="45"/>
    <x v="1"/>
    <x v="3"/>
    <n v="50"/>
    <n v="100"/>
  </r>
  <r>
    <n v="426"/>
    <d v="2023-03-24T00:00:00"/>
    <x v="0"/>
    <x v="2"/>
    <x v="220"/>
    <s v="Male"/>
    <n v="23"/>
    <x v="2"/>
    <x v="0"/>
    <n v="50"/>
    <n v="150"/>
  </r>
  <r>
    <n v="76"/>
    <d v="2023-03-25T00:00:00"/>
    <x v="0"/>
    <x v="2"/>
    <x v="221"/>
    <s v="Female"/>
    <n v="22"/>
    <x v="2"/>
    <x v="3"/>
    <n v="50"/>
    <n v="100"/>
  </r>
  <r>
    <n v="91"/>
    <d v="2023-03-25T00:00:00"/>
    <x v="0"/>
    <x v="2"/>
    <x v="222"/>
    <s v="Female"/>
    <n v="55"/>
    <x v="2"/>
    <x v="2"/>
    <n v="500"/>
    <n v="500"/>
  </r>
  <r>
    <n v="461"/>
    <d v="2023-03-25T00:00:00"/>
    <x v="0"/>
    <x v="2"/>
    <x v="223"/>
    <s v="Female"/>
    <n v="18"/>
    <x v="1"/>
    <x v="3"/>
    <n v="500"/>
    <n v="1000"/>
  </r>
  <r>
    <n v="764"/>
    <d v="2023-03-25T00:00:00"/>
    <x v="0"/>
    <x v="2"/>
    <x v="224"/>
    <s v="Female"/>
    <n v="40"/>
    <x v="0"/>
    <x v="2"/>
    <n v="25"/>
    <n v="25"/>
  </r>
  <r>
    <n v="202"/>
    <d v="2023-03-26T00:00:00"/>
    <x v="0"/>
    <x v="2"/>
    <x v="225"/>
    <s v="Female"/>
    <n v="34"/>
    <x v="0"/>
    <x v="1"/>
    <n v="300"/>
    <n v="1200"/>
  </r>
  <r>
    <n v="301"/>
    <d v="2023-03-26T00:00:00"/>
    <x v="0"/>
    <x v="2"/>
    <x v="226"/>
    <s v="Male"/>
    <n v="30"/>
    <x v="0"/>
    <x v="1"/>
    <n v="30"/>
    <n v="120"/>
  </r>
  <r>
    <n v="703"/>
    <d v="2023-03-26T00:00:00"/>
    <x v="0"/>
    <x v="2"/>
    <x v="227"/>
    <s v="Male"/>
    <n v="34"/>
    <x v="2"/>
    <x v="3"/>
    <n v="50"/>
    <n v="100"/>
  </r>
  <r>
    <n v="294"/>
    <d v="2023-03-27T00:00:00"/>
    <x v="0"/>
    <x v="2"/>
    <x v="228"/>
    <s v="Female"/>
    <n v="23"/>
    <x v="0"/>
    <x v="0"/>
    <n v="30"/>
    <n v="90"/>
  </r>
  <r>
    <n v="760"/>
    <d v="2023-03-27T00:00:00"/>
    <x v="0"/>
    <x v="2"/>
    <x v="229"/>
    <s v="Male"/>
    <n v="27"/>
    <x v="1"/>
    <x v="2"/>
    <n v="500"/>
    <n v="500"/>
  </r>
  <r>
    <n v="575"/>
    <d v="2023-03-28T00:00:00"/>
    <x v="0"/>
    <x v="2"/>
    <x v="230"/>
    <s v="Male"/>
    <n v="60"/>
    <x v="0"/>
    <x v="3"/>
    <n v="50"/>
    <n v="100"/>
  </r>
  <r>
    <n v="88"/>
    <d v="2023-03-29T00:00:00"/>
    <x v="0"/>
    <x v="2"/>
    <x v="231"/>
    <s v="Male"/>
    <n v="56"/>
    <x v="0"/>
    <x v="2"/>
    <n v="500"/>
    <n v="500"/>
  </r>
  <r>
    <n v="975"/>
    <d v="2023-03-30T00:00:00"/>
    <x v="0"/>
    <x v="2"/>
    <x v="232"/>
    <s v="Female"/>
    <n v="56"/>
    <x v="0"/>
    <x v="1"/>
    <n v="50"/>
    <n v="200"/>
  </r>
  <r>
    <n v="553"/>
    <d v="2023-03-31T00:00:00"/>
    <x v="0"/>
    <x v="2"/>
    <x v="233"/>
    <s v="Male"/>
    <n v="24"/>
    <x v="0"/>
    <x v="1"/>
    <n v="300"/>
    <n v="1200"/>
  </r>
  <r>
    <n v="462"/>
    <d v="2023-04-01T00:00:00"/>
    <x v="0"/>
    <x v="3"/>
    <x v="234"/>
    <s v="Male"/>
    <n v="63"/>
    <x v="2"/>
    <x v="1"/>
    <n v="300"/>
    <n v="1200"/>
  </r>
  <r>
    <n v="614"/>
    <d v="2023-04-01T00:00:00"/>
    <x v="0"/>
    <x v="3"/>
    <x v="235"/>
    <s v="Female"/>
    <n v="39"/>
    <x v="1"/>
    <x v="1"/>
    <n v="300"/>
    <n v="1200"/>
  </r>
  <r>
    <n v="808"/>
    <d v="2023-04-01T00:00:00"/>
    <x v="0"/>
    <x v="3"/>
    <x v="236"/>
    <s v="Male"/>
    <n v="33"/>
    <x v="1"/>
    <x v="1"/>
    <n v="500"/>
    <n v="2000"/>
  </r>
  <r>
    <n v="166"/>
    <d v="2023-04-02T00:00:00"/>
    <x v="0"/>
    <x v="3"/>
    <x v="237"/>
    <s v="Male"/>
    <n v="34"/>
    <x v="0"/>
    <x v="1"/>
    <n v="500"/>
    <n v="2000"/>
  </r>
  <r>
    <n v="465"/>
    <d v="2023-04-02T00:00:00"/>
    <x v="0"/>
    <x v="3"/>
    <x v="238"/>
    <s v="Female"/>
    <n v="43"/>
    <x v="2"/>
    <x v="0"/>
    <n v="50"/>
    <n v="150"/>
  </r>
  <r>
    <n v="502"/>
    <d v="2023-04-02T00:00:00"/>
    <x v="0"/>
    <x v="3"/>
    <x v="239"/>
    <s v="Male"/>
    <n v="43"/>
    <x v="2"/>
    <x v="0"/>
    <n v="50"/>
    <n v="150"/>
  </r>
  <r>
    <n v="905"/>
    <d v="2023-04-02T00:00:00"/>
    <x v="0"/>
    <x v="3"/>
    <x v="240"/>
    <s v="Male"/>
    <n v="58"/>
    <x v="1"/>
    <x v="2"/>
    <n v="300"/>
    <n v="300"/>
  </r>
  <r>
    <n v="280"/>
    <d v="2023-04-04T00:00:00"/>
    <x v="0"/>
    <x v="3"/>
    <x v="241"/>
    <s v="Female"/>
    <n v="37"/>
    <x v="0"/>
    <x v="0"/>
    <n v="500"/>
    <n v="1500"/>
  </r>
  <r>
    <n v="719"/>
    <d v="2023-04-04T00:00:00"/>
    <x v="0"/>
    <x v="3"/>
    <x v="242"/>
    <s v="Female"/>
    <n v="42"/>
    <x v="0"/>
    <x v="3"/>
    <n v="30"/>
    <n v="60"/>
  </r>
  <r>
    <n v="834"/>
    <d v="2023-04-04T00:00:00"/>
    <x v="0"/>
    <x v="3"/>
    <x v="243"/>
    <s v="Female"/>
    <n v="56"/>
    <x v="1"/>
    <x v="3"/>
    <n v="30"/>
    <n v="60"/>
  </r>
  <r>
    <n v="891"/>
    <d v="2023-04-05T00:00:00"/>
    <x v="0"/>
    <x v="3"/>
    <x v="244"/>
    <s v="Male"/>
    <n v="41"/>
    <x v="2"/>
    <x v="0"/>
    <n v="300"/>
    <n v="900"/>
  </r>
  <r>
    <n v="928"/>
    <d v="2023-04-05T00:00:00"/>
    <x v="0"/>
    <x v="3"/>
    <x v="245"/>
    <s v="Female"/>
    <n v="35"/>
    <x v="0"/>
    <x v="1"/>
    <n v="300"/>
    <n v="1200"/>
  </r>
  <r>
    <n v="332"/>
    <d v="2023-04-06T00:00:00"/>
    <x v="0"/>
    <x v="3"/>
    <x v="246"/>
    <s v="Male"/>
    <n v="58"/>
    <x v="2"/>
    <x v="1"/>
    <n v="300"/>
    <n v="1200"/>
  </r>
  <r>
    <n v="255"/>
    <d v="2023-04-08T00:00:00"/>
    <x v="0"/>
    <x v="3"/>
    <x v="247"/>
    <s v="Male"/>
    <n v="48"/>
    <x v="0"/>
    <x v="2"/>
    <n v="30"/>
    <n v="30"/>
  </r>
  <r>
    <n v="275"/>
    <d v="2023-04-08T00:00:00"/>
    <x v="0"/>
    <x v="3"/>
    <x v="248"/>
    <s v="Male"/>
    <n v="43"/>
    <x v="0"/>
    <x v="3"/>
    <n v="500"/>
    <n v="1000"/>
  </r>
  <r>
    <n v="314"/>
    <d v="2023-04-08T00:00:00"/>
    <x v="0"/>
    <x v="3"/>
    <x v="249"/>
    <s v="Male"/>
    <n v="52"/>
    <x v="0"/>
    <x v="1"/>
    <n v="30"/>
    <n v="120"/>
  </r>
  <r>
    <n v="517"/>
    <d v="2023-04-08T00:00:00"/>
    <x v="0"/>
    <x v="3"/>
    <x v="250"/>
    <s v="Female"/>
    <n v="47"/>
    <x v="0"/>
    <x v="1"/>
    <n v="25"/>
    <n v="100"/>
  </r>
  <r>
    <n v="847"/>
    <d v="2023-04-08T00:00:00"/>
    <x v="0"/>
    <x v="3"/>
    <x v="251"/>
    <s v="Female"/>
    <n v="18"/>
    <x v="2"/>
    <x v="1"/>
    <n v="300"/>
    <n v="1200"/>
  </r>
  <r>
    <n v="61"/>
    <d v="2023-04-09T00:00:00"/>
    <x v="0"/>
    <x v="3"/>
    <x v="252"/>
    <s v="Male"/>
    <n v="21"/>
    <x v="1"/>
    <x v="1"/>
    <n v="50"/>
    <n v="200"/>
  </r>
  <r>
    <n v="274"/>
    <d v="2023-04-09T00:00:00"/>
    <x v="0"/>
    <x v="3"/>
    <x v="253"/>
    <s v="Female"/>
    <n v="23"/>
    <x v="0"/>
    <x v="3"/>
    <n v="500"/>
    <n v="1000"/>
  </r>
  <r>
    <n v="486"/>
    <d v="2023-04-09T00:00:00"/>
    <x v="0"/>
    <x v="3"/>
    <x v="254"/>
    <s v="Female"/>
    <n v="35"/>
    <x v="2"/>
    <x v="2"/>
    <n v="25"/>
    <n v="25"/>
  </r>
  <r>
    <n v="548"/>
    <d v="2023-04-09T00:00:00"/>
    <x v="0"/>
    <x v="3"/>
    <x v="255"/>
    <s v="Female"/>
    <n v="51"/>
    <x v="0"/>
    <x v="3"/>
    <n v="30"/>
    <n v="60"/>
  </r>
  <r>
    <n v="886"/>
    <d v="2023-04-09T00:00:00"/>
    <x v="0"/>
    <x v="3"/>
    <x v="256"/>
    <s v="Male"/>
    <n v="37"/>
    <x v="2"/>
    <x v="0"/>
    <n v="300"/>
    <n v="900"/>
  </r>
  <r>
    <n v="892"/>
    <d v="2023-04-09T00:00:00"/>
    <x v="0"/>
    <x v="3"/>
    <x v="257"/>
    <s v="Male"/>
    <n v="20"/>
    <x v="2"/>
    <x v="2"/>
    <n v="50"/>
    <n v="50"/>
  </r>
  <r>
    <n v="601"/>
    <d v="2023-04-10T00:00:00"/>
    <x v="0"/>
    <x v="3"/>
    <x v="258"/>
    <s v="Male"/>
    <n v="19"/>
    <x v="0"/>
    <x v="2"/>
    <n v="30"/>
    <n v="30"/>
  </r>
  <r>
    <n v="901"/>
    <d v="2023-04-10T00:00:00"/>
    <x v="0"/>
    <x v="3"/>
    <x v="259"/>
    <s v="Male"/>
    <n v="31"/>
    <x v="2"/>
    <x v="2"/>
    <n v="30"/>
    <n v="30"/>
  </r>
  <r>
    <n v="527"/>
    <d v="2023-04-11T00:00:00"/>
    <x v="0"/>
    <x v="3"/>
    <x v="260"/>
    <s v="Male"/>
    <n v="57"/>
    <x v="0"/>
    <x v="3"/>
    <n v="25"/>
    <n v="50"/>
  </r>
  <r>
    <n v="23"/>
    <d v="2023-04-12T00:00:00"/>
    <x v="0"/>
    <x v="3"/>
    <x v="261"/>
    <s v="Female"/>
    <n v="35"/>
    <x v="0"/>
    <x v="1"/>
    <n v="30"/>
    <n v="120"/>
  </r>
  <r>
    <n v="174"/>
    <d v="2023-04-12T00:00:00"/>
    <x v="0"/>
    <x v="3"/>
    <x v="262"/>
    <s v="Female"/>
    <n v="39"/>
    <x v="1"/>
    <x v="2"/>
    <n v="300"/>
    <n v="300"/>
  </r>
  <r>
    <n v="589"/>
    <d v="2023-04-12T00:00:00"/>
    <x v="0"/>
    <x v="3"/>
    <x v="263"/>
    <s v="Female"/>
    <n v="36"/>
    <x v="1"/>
    <x v="3"/>
    <n v="500"/>
    <n v="1000"/>
  </r>
  <r>
    <n v="774"/>
    <d v="2023-04-12T00:00:00"/>
    <x v="0"/>
    <x v="3"/>
    <x v="264"/>
    <s v="Female"/>
    <n v="40"/>
    <x v="0"/>
    <x v="3"/>
    <n v="25"/>
    <n v="50"/>
  </r>
  <r>
    <n v="1000"/>
    <d v="2023-04-12T00:00:00"/>
    <x v="0"/>
    <x v="3"/>
    <x v="265"/>
    <s v="Male"/>
    <n v="47"/>
    <x v="2"/>
    <x v="1"/>
    <n v="30"/>
    <n v="120"/>
  </r>
  <r>
    <n v="210"/>
    <d v="2023-04-13T00:00:00"/>
    <x v="0"/>
    <x v="3"/>
    <x v="266"/>
    <s v="Male"/>
    <n v="37"/>
    <x v="2"/>
    <x v="1"/>
    <n v="50"/>
    <n v="200"/>
  </r>
  <r>
    <n v="478"/>
    <d v="2023-04-13T00:00:00"/>
    <x v="0"/>
    <x v="3"/>
    <x v="267"/>
    <s v="Female"/>
    <n v="58"/>
    <x v="0"/>
    <x v="3"/>
    <n v="30"/>
    <n v="60"/>
  </r>
  <r>
    <n v="745"/>
    <d v="2023-04-13T00:00:00"/>
    <x v="0"/>
    <x v="3"/>
    <x v="268"/>
    <s v="Male"/>
    <n v="54"/>
    <x v="1"/>
    <x v="3"/>
    <n v="50"/>
    <n v="100"/>
  </r>
  <r>
    <n v="354"/>
    <d v="2023-04-15T00:00:00"/>
    <x v="0"/>
    <x v="3"/>
    <x v="269"/>
    <s v="Female"/>
    <n v="49"/>
    <x v="1"/>
    <x v="1"/>
    <n v="50"/>
    <n v="200"/>
  </r>
  <r>
    <n v="408"/>
    <d v="2023-04-15T00:00:00"/>
    <x v="0"/>
    <x v="3"/>
    <x v="270"/>
    <s v="Female"/>
    <n v="64"/>
    <x v="1"/>
    <x v="2"/>
    <n v="500"/>
    <n v="500"/>
  </r>
  <r>
    <n v="674"/>
    <d v="2023-04-16T00:00:00"/>
    <x v="0"/>
    <x v="3"/>
    <x v="271"/>
    <s v="Female"/>
    <n v="38"/>
    <x v="0"/>
    <x v="2"/>
    <n v="300"/>
    <n v="300"/>
  </r>
  <r>
    <n v="967"/>
    <d v="2023-04-17T00:00:00"/>
    <x v="0"/>
    <x v="3"/>
    <x v="272"/>
    <s v="Male"/>
    <n v="62"/>
    <x v="1"/>
    <x v="2"/>
    <n v="25"/>
    <n v="25"/>
  </r>
  <r>
    <n v="79"/>
    <d v="2023-04-18T00:00:00"/>
    <x v="0"/>
    <x v="3"/>
    <x v="273"/>
    <s v="Male"/>
    <n v="34"/>
    <x v="1"/>
    <x v="2"/>
    <n v="300"/>
    <n v="300"/>
  </r>
  <r>
    <n v="406"/>
    <d v="2023-04-18T00:00:00"/>
    <x v="0"/>
    <x v="3"/>
    <x v="274"/>
    <s v="Female"/>
    <n v="22"/>
    <x v="1"/>
    <x v="1"/>
    <n v="25"/>
    <n v="100"/>
  </r>
  <r>
    <n v="450"/>
    <d v="2023-04-18T00:00:00"/>
    <x v="0"/>
    <x v="3"/>
    <x v="275"/>
    <s v="Female"/>
    <n v="59"/>
    <x v="1"/>
    <x v="3"/>
    <n v="25"/>
    <n v="50"/>
  </r>
  <r>
    <n v="562"/>
    <d v="2023-04-18T00:00:00"/>
    <x v="0"/>
    <x v="3"/>
    <x v="276"/>
    <s v="Male"/>
    <n v="54"/>
    <x v="2"/>
    <x v="3"/>
    <n v="25"/>
    <n v="50"/>
  </r>
  <r>
    <n v="108"/>
    <d v="2023-04-19T00:00:00"/>
    <x v="0"/>
    <x v="3"/>
    <x v="277"/>
    <s v="Female"/>
    <n v="27"/>
    <x v="1"/>
    <x v="0"/>
    <n v="25"/>
    <n v="75"/>
  </r>
  <r>
    <n v="111"/>
    <d v="2023-04-19T00:00:00"/>
    <x v="0"/>
    <x v="3"/>
    <x v="278"/>
    <s v="Female"/>
    <n v="34"/>
    <x v="2"/>
    <x v="0"/>
    <n v="500"/>
    <n v="1500"/>
  </r>
  <r>
    <n v="207"/>
    <d v="2023-04-19T00:00:00"/>
    <x v="0"/>
    <x v="3"/>
    <x v="279"/>
    <s v="Female"/>
    <n v="42"/>
    <x v="1"/>
    <x v="3"/>
    <n v="25"/>
    <n v="50"/>
  </r>
  <r>
    <n v="724"/>
    <d v="2023-04-19T00:00:00"/>
    <x v="0"/>
    <x v="3"/>
    <x v="280"/>
    <s v="Male"/>
    <n v="61"/>
    <x v="0"/>
    <x v="0"/>
    <n v="50"/>
    <n v="150"/>
  </r>
  <r>
    <n v="836"/>
    <d v="2023-04-19T00:00:00"/>
    <x v="0"/>
    <x v="3"/>
    <x v="281"/>
    <s v="Female"/>
    <n v="22"/>
    <x v="0"/>
    <x v="2"/>
    <n v="50"/>
    <n v="50"/>
  </r>
  <r>
    <n v="969"/>
    <d v="2023-04-19T00:00:00"/>
    <x v="0"/>
    <x v="3"/>
    <x v="282"/>
    <s v="Female"/>
    <n v="40"/>
    <x v="0"/>
    <x v="0"/>
    <n v="300"/>
    <n v="900"/>
  </r>
  <r>
    <n v="246"/>
    <d v="2023-04-20T00:00:00"/>
    <x v="0"/>
    <x v="3"/>
    <x v="283"/>
    <s v="Female"/>
    <n v="48"/>
    <x v="2"/>
    <x v="3"/>
    <n v="25"/>
    <n v="50"/>
  </r>
  <r>
    <n v="298"/>
    <d v="2023-04-20T00:00:00"/>
    <x v="0"/>
    <x v="3"/>
    <x v="284"/>
    <s v="Male"/>
    <n v="27"/>
    <x v="1"/>
    <x v="1"/>
    <n v="300"/>
    <n v="1200"/>
  </r>
  <r>
    <n v="374"/>
    <d v="2023-04-20T00:00:00"/>
    <x v="0"/>
    <x v="3"/>
    <x v="285"/>
    <s v="Female"/>
    <n v="59"/>
    <x v="1"/>
    <x v="0"/>
    <n v="25"/>
    <n v="75"/>
  </r>
  <r>
    <n v="572"/>
    <d v="2023-04-20T00:00:00"/>
    <x v="0"/>
    <x v="3"/>
    <x v="286"/>
    <s v="Male"/>
    <n v="31"/>
    <x v="0"/>
    <x v="1"/>
    <n v="500"/>
    <n v="2000"/>
  </r>
  <r>
    <n v="665"/>
    <d v="2023-04-20T00:00:00"/>
    <x v="0"/>
    <x v="3"/>
    <x v="287"/>
    <s v="Male"/>
    <n v="57"/>
    <x v="0"/>
    <x v="2"/>
    <n v="50"/>
    <n v="50"/>
  </r>
  <r>
    <n v="39"/>
    <d v="2023-04-21T00:00:00"/>
    <x v="0"/>
    <x v="3"/>
    <x v="288"/>
    <s v="Male"/>
    <n v="23"/>
    <x v="0"/>
    <x v="1"/>
    <n v="30"/>
    <n v="120"/>
  </r>
  <r>
    <n v="893"/>
    <d v="2023-04-21T00:00:00"/>
    <x v="0"/>
    <x v="3"/>
    <x v="289"/>
    <s v="Male"/>
    <n v="49"/>
    <x v="2"/>
    <x v="2"/>
    <n v="50"/>
    <n v="50"/>
  </r>
  <r>
    <n v="17"/>
    <d v="2023-04-22T00:00:00"/>
    <x v="0"/>
    <x v="3"/>
    <x v="290"/>
    <s v="Female"/>
    <n v="27"/>
    <x v="0"/>
    <x v="1"/>
    <n v="25"/>
    <n v="100"/>
  </r>
  <r>
    <n v="316"/>
    <d v="2023-04-22T00:00:00"/>
    <x v="0"/>
    <x v="3"/>
    <x v="291"/>
    <s v="Female"/>
    <n v="48"/>
    <x v="0"/>
    <x v="3"/>
    <n v="25"/>
    <n v="50"/>
  </r>
  <r>
    <n v="755"/>
    <d v="2023-04-22T00:00:00"/>
    <x v="0"/>
    <x v="3"/>
    <x v="292"/>
    <s v="Female"/>
    <n v="58"/>
    <x v="0"/>
    <x v="0"/>
    <n v="25"/>
    <n v="75"/>
  </r>
  <r>
    <n v="28"/>
    <d v="2023-04-23T00:00:00"/>
    <x v="0"/>
    <x v="3"/>
    <x v="293"/>
    <s v="Female"/>
    <n v="43"/>
    <x v="1"/>
    <x v="2"/>
    <n v="500"/>
    <n v="500"/>
  </r>
  <r>
    <n v="98"/>
    <d v="2023-04-23T00:00:00"/>
    <x v="0"/>
    <x v="3"/>
    <x v="294"/>
    <s v="Female"/>
    <n v="55"/>
    <x v="1"/>
    <x v="3"/>
    <n v="50"/>
    <n v="100"/>
  </r>
  <r>
    <n v="129"/>
    <d v="2023-04-23T00:00:00"/>
    <x v="0"/>
    <x v="3"/>
    <x v="295"/>
    <s v="Female"/>
    <n v="21"/>
    <x v="1"/>
    <x v="3"/>
    <n v="300"/>
    <n v="600"/>
  </r>
  <r>
    <n v="230"/>
    <d v="2023-04-23T00:00:00"/>
    <x v="0"/>
    <x v="3"/>
    <x v="296"/>
    <s v="Male"/>
    <n v="54"/>
    <x v="1"/>
    <x v="2"/>
    <n v="25"/>
    <n v="25"/>
  </r>
  <r>
    <n v="613"/>
    <d v="2023-04-23T00:00:00"/>
    <x v="0"/>
    <x v="3"/>
    <x v="297"/>
    <s v="Female"/>
    <n v="52"/>
    <x v="0"/>
    <x v="0"/>
    <n v="30"/>
    <n v="90"/>
  </r>
  <r>
    <n v="691"/>
    <d v="2023-04-23T00:00:00"/>
    <x v="0"/>
    <x v="3"/>
    <x v="298"/>
    <s v="Female"/>
    <n v="51"/>
    <x v="0"/>
    <x v="0"/>
    <n v="30"/>
    <n v="90"/>
  </r>
  <r>
    <n v="693"/>
    <d v="2023-04-23T00:00:00"/>
    <x v="0"/>
    <x v="3"/>
    <x v="299"/>
    <s v="Male"/>
    <n v="41"/>
    <x v="1"/>
    <x v="0"/>
    <n v="500"/>
    <n v="1500"/>
  </r>
  <r>
    <n v="477"/>
    <d v="2023-04-24T00:00:00"/>
    <x v="0"/>
    <x v="3"/>
    <x v="300"/>
    <s v="Male"/>
    <n v="43"/>
    <x v="0"/>
    <x v="1"/>
    <n v="30"/>
    <n v="120"/>
  </r>
  <r>
    <n v="863"/>
    <d v="2023-04-24T00:00:00"/>
    <x v="0"/>
    <x v="3"/>
    <x v="301"/>
    <s v="Female"/>
    <n v="30"/>
    <x v="2"/>
    <x v="3"/>
    <n v="25"/>
    <n v="50"/>
  </r>
  <r>
    <n v="6"/>
    <d v="2023-04-25T00:00:00"/>
    <x v="0"/>
    <x v="3"/>
    <x v="302"/>
    <s v="Female"/>
    <n v="45"/>
    <x v="1"/>
    <x v="2"/>
    <n v="30"/>
    <n v="30"/>
  </r>
  <r>
    <n v="483"/>
    <d v="2023-04-25T00:00:00"/>
    <x v="0"/>
    <x v="3"/>
    <x v="303"/>
    <s v="Male"/>
    <n v="55"/>
    <x v="0"/>
    <x v="2"/>
    <n v="30"/>
    <n v="30"/>
  </r>
  <r>
    <n v="738"/>
    <d v="2023-04-25T00:00:00"/>
    <x v="0"/>
    <x v="3"/>
    <x v="304"/>
    <s v="Male"/>
    <n v="41"/>
    <x v="0"/>
    <x v="3"/>
    <n v="50"/>
    <n v="100"/>
  </r>
  <r>
    <n v="222"/>
    <d v="2023-04-26T00:00:00"/>
    <x v="0"/>
    <x v="3"/>
    <x v="305"/>
    <s v="Male"/>
    <n v="51"/>
    <x v="0"/>
    <x v="1"/>
    <n v="30"/>
    <n v="120"/>
  </r>
  <r>
    <n v="588"/>
    <d v="2023-04-26T00:00:00"/>
    <x v="0"/>
    <x v="3"/>
    <x v="306"/>
    <s v="Male"/>
    <n v="38"/>
    <x v="2"/>
    <x v="3"/>
    <n v="30"/>
    <n v="60"/>
  </r>
  <r>
    <n v="953"/>
    <d v="2023-04-26T00:00:00"/>
    <x v="0"/>
    <x v="3"/>
    <x v="307"/>
    <s v="Male"/>
    <n v="45"/>
    <x v="1"/>
    <x v="0"/>
    <n v="30"/>
    <n v="90"/>
  </r>
  <r>
    <n v="66"/>
    <d v="2023-04-27T00:00:00"/>
    <x v="0"/>
    <x v="3"/>
    <x v="308"/>
    <s v="Female"/>
    <n v="45"/>
    <x v="2"/>
    <x v="2"/>
    <n v="30"/>
    <n v="30"/>
  </r>
  <r>
    <n v="482"/>
    <d v="2023-04-27T00:00:00"/>
    <x v="0"/>
    <x v="3"/>
    <x v="309"/>
    <s v="Female"/>
    <n v="28"/>
    <x v="0"/>
    <x v="1"/>
    <n v="300"/>
    <n v="1200"/>
  </r>
  <r>
    <n v="903"/>
    <d v="2023-04-27T00:00:00"/>
    <x v="0"/>
    <x v="3"/>
    <x v="310"/>
    <s v="Female"/>
    <n v="51"/>
    <x v="1"/>
    <x v="1"/>
    <n v="50"/>
    <n v="200"/>
  </r>
  <r>
    <n v="102"/>
    <d v="2023-04-28T00:00:00"/>
    <x v="0"/>
    <x v="3"/>
    <x v="311"/>
    <s v="Female"/>
    <n v="47"/>
    <x v="1"/>
    <x v="3"/>
    <n v="25"/>
    <n v="50"/>
  </r>
  <r>
    <n v="228"/>
    <d v="2023-04-28T00:00:00"/>
    <x v="0"/>
    <x v="3"/>
    <x v="312"/>
    <s v="Female"/>
    <n v="59"/>
    <x v="2"/>
    <x v="3"/>
    <n v="30"/>
    <n v="60"/>
  </r>
  <r>
    <n v="236"/>
    <d v="2023-04-28T00:00:00"/>
    <x v="0"/>
    <x v="3"/>
    <x v="313"/>
    <s v="Female"/>
    <n v="54"/>
    <x v="0"/>
    <x v="2"/>
    <n v="25"/>
    <n v="25"/>
  </r>
  <r>
    <n v="660"/>
    <d v="2023-04-29T00:00:00"/>
    <x v="0"/>
    <x v="3"/>
    <x v="314"/>
    <s v="Female"/>
    <n v="38"/>
    <x v="1"/>
    <x v="3"/>
    <n v="500"/>
    <n v="1000"/>
  </r>
  <r>
    <n v="884"/>
    <d v="2023-04-29T00:00:00"/>
    <x v="0"/>
    <x v="3"/>
    <x v="315"/>
    <s v="Female"/>
    <n v="26"/>
    <x v="0"/>
    <x v="3"/>
    <n v="30"/>
    <n v="60"/>
  </r>
  <r>
    <n v="987"/>
    <d v="2023-04-29T00:00:00"/>
    <x v="0"/>
    <x v="3"/>
    <x v="316"/>
    <s v="Female"/>
    <n v="30"/>
    <x v="0"/>
    <x v="0"/>
    <n v="300"/>
    <n v="900"/>
  </r>
  <r>
    <n v="18"/>
    <d v="2023-04-30T00:00:00"/>
    <x v="0"/>
    <x v="3"/>
    <x v="317"/>
    <s v="Female"/>
    <n v="47"/>
    <x v="2"/>
    <x v="3"/>
    <n v="25"/>
    <n v="50"/>
  </r>
  <r>
    <n v="69"/>
    <d v="2023-04-30T00:00:00"/>
    <x v="0"/>
    <x v="3"/>
    <x v="318"/>
    <s v="Female"/>
    <n v="56"/>
    <x v="1"/>
    <x v="0"/>
    <n v="25"/>
    <n v="75"/>
  </r>
  <r>
    <n v="995"/>
    <d v="2023-04-30T00:00:00"/>
    <x v="0"/>
    <x v="3"/>
    <x v="319"/>
    <s v="Female"/>
    <n v="41"/>
    <x v="0"/>
    <x v="2"/>
    <n v="30"/>
    <n v="30"/>
  </r>
  <r>
    <n v="337"/>
    <d v="2023-05-01T00:00:00"/>
    <x v="0"/>
    <x v="4"/>
    <x v="320"/>
    <s v="Male"/>
    <n v="38"/>
    <x v="0"/>
    <x v="2"/>
    <n v="500"/>
    <n v="500"/>
  </r>
  <r>
    <n v="585"/>
    <d v="2023-05-01T00:00:00"/>
    <x v="0"/>
    <x v="4"/>
    <x v="321"/>
    <s v="Female"/>
    <n v="24"/>
    <x v="0"/>
    <x v="2"/>
    <n v="25"/>
    <n v="25"/>
  </r>
  <r>
    <n v="652"/>
    <d v="2023-05-01T00:00:00"/>
    <x v="0"/>
    <x v="4"/>
    <x v="322"/>
    <s v="Female"/>
    <n v="34"/>
    <x v="1"/>
    <x v="3"/>
    <n v="50"/>
    <n v="100"/>
  </r>
  <r>
    <n v="242"/>
    <d v="2023-05-02T00:00:00"/>
    <x v="0"/>
    <x v="4"/>
    <x v="323"/>
    <s v="Male"/>
    <n v="21"/>
    <x v="0"/>
    <x v="2"/>
    <n v="25"/>
    <n v="25"/>
  </r>
  <r>
    <n v="293"/>
    <d v="2023-05-02T00:00:00"/>
    <x v="0"/>
    <x v="4"/>
    <x v="324"/>
    <s v="Male"/>
    <n v="50"/>
    <x v="2"/>
    <x v="0"/>
    <n v="30"/>
    <n v="90"/>
  </r>
  <r>
    <n v="460"/>
    <d v="2023-05-02T00:00:00"/>
    <x v="0"/>
    <x v="4"/>
    <x v="325"/>
    <s v="Male"/>
    <n v="40"/>
    <x v="1"/>
    <x v="2"/>
    <n v="50"/>
    <n v="50"/>
  </r>
  <r>
    <n v="188"/>
    <d v="2023-05-03T00:00:00"/>
    <x v="0"/>
    <x v="4"/>
    <x v="326"/>
    <s v="Male"/>
    <n v="40"/>
    <x v="0"/>
    <x v="0"/>
    <n v="25"/>
    <n v="75"/>
  </r>
  <r>
    <n v="357"/>
    <d v="2023-05-03T00:00:00"/>
    <x v="0"/>
    <x v="4"/>
    <x v="327"/>
    <s v="Female"/>
    <n v="40"/>
    <x v="2"/>
    <x v="0"/>
    <n v="25"/>
    <n v="75"/>
  </r>
  <r>
    <n v="646"/>
    <d v="2023-05-03T00:00:00"/>
    <x v="0"/>
    <x v="4"/>
    <x v="328"/>
    <s v="Male"/>
    <n v="38"/>
    <x v="0"/>
    <x v="0"/>
    <n v="30"/>
    <n v="90"/>
  </r>
  <r>
    <n v="749"/>
    <d v="2023-05-03T00:00:00"/>
    <x v="0"/>
    <x v="4"/>
    <x v="329"/>
    <s v="Male"/>
    <n v="42"/>
    <x v="1"/>
    <x v="2"/>
    <n v="30"/>
    <n v="30"/>
  </r>
  <r>
    <n v="974"/>
    <d v="2023-05-03T00:00:00"/>
    <x v="0"/>
    <x v="4"/>
    <x v="330"/>
    <s v="Male"/>
    <n v="47"/>
    <x v="1"/>
    <x v="2"/>
    <n v="30"/>
    <n v="30"/>
  </r>
  <r>
    <n v="190"/>
    <d v="2023-05-04T00:00:00"/>
    <x v="0"/>
    <x v="4"/>
    <x v="331"/>
    <s v="Female"/>
    <n v="60"/>
    <x v="1"/>
    <x v="0"/>
    <n v="30"/>
    <n v="90"/>
  </r>
  <r>
    <n v="849"/>
    <d v="2023-05-04T00:00:00"/>
    <x v="0"/>
    <x v="4"/>
    <x v="332"/>
    <s v="Male"/>
    <n v="32"/>
    <x v="0"/>
    <x v="3"/>
    <n v="25"/>
    <n v="50"/>
  </r>
  <r>
    <n v="853"/>
    <d v="2023-05-04T00:00:00"/>
    <x v="0"/>
    <x v="4"/>
    <x v="333"/>
    <s v="Male"/>
    <n v="21"/>
    <x v="1"/>
    <x v="3"/>
    <n v="500"/>
    <n v="1000"/>
  </r>
  <r>
    <n v="252"/>
    <d v="2023-05-05T00:00:00"/>
    <x v="0"/>
    <x v="4"/>
    <x v="334"/>
    <s v="Male"/>
    <n v="54"/>
    <x v="2"/>
    <x v="2"/>
    <n v="300"/>
    <n v="300"/>
  </r>
  <r>
    <n v="606"/>
    <d v="2023-05-05T00:00:00"/>
    <x v="0"/>
    <x v="4"/>
    <x v="335"/>
    <s v="Male"/>
    <n v="22"/>
    <x v="2"/>
    <x v="2"/>
    <n v="50"/>
    <n v="50"/>
  </r>
  <r>
    <n v="779"/>
    <d v="2023-05-05T00:00:00"/>
    <x v="0"/>
    <x v="4"/>
    <x v="336"/>
    <s v="Female"/>
    <n v="56"/>
    <x v="2"/>
    <x v="3"/>
    <n v="500"/>
    <n v="1000"/>
  </r>
  <r>
    <n v="824"/>
    <d v="2023-05-05T00:00:00"/>
    <x v="0"/>
    <x v="4"/>
    <x v="337"/>
    <s v="Male"/>
    <n v="63"/>
    <x v="0"/>
    <x v="1"/>
    <n v="30"/>
    <n v="120"/>
  </r>
  <r>
    <n v="866"/>
    <d v="2023-05-05T00:00:00"/>
    <x v="0"/>
    <x v="4"/>
    <x v="338"/>
    <s v="Male"/>
    <n v="24"/>
    <x v="2"/>
    <x v="2"/>
    <n v="50"/>
    <n v="50"/>
  </r>
  <r>
    <n v="5"/>
    <d v="2023-05-06T00:00:00"/>
    <x v="0"/>
    <x v="4"/>
    <x v="339"/>
    <s v="Male"/>
    <n v="30"/>
    <x v="1"/>
    <x v="3"/>
    <n v="50"/>
    <n v="100"/>
  </r>
  <r>
    <n v="90"/>
    <d v="2023-05-06T00:00:00"/>
    <x v="0"/>
    <x v="4"/>
    <x v="340"/>
    <s v="Female"/>
    <n v="51"/>
    <x v="2"/>
    <x v="2"/>
    <n v="30"/>
    <n v="30"/>
  </r>
  <r>
    <n v="380"/>
    <d v="2023-05-06T00:00:00"/>
    <x v="0"/>
    <x v="4"/>
    <x v="341"/>
    <s v="Male"/>
    <n v="56"/>
    <x v="2"/>
    <x v="3"/>
    <n v="300"/>
    <n v="600"/>
  </r>
  <r>
    <n v="593"/>
    <d v="2023-05-06T00:00:00"/>
    <x v="0"/>
    <x v="4"/>
    <x v="342"/>
    <s v="Male"/>
    <n v="35"/>
    <x v="2"/>
    <x v="3"/>
    <n v="30"/>
    <n v="60"/>
  </r>
  <r>
    <n v="820"/>
    <d v="2023-05-06T00:00:00"/>
    <x v="0"/>
    <x v="4"/>
    <x v="343"/>
    <s v="Male"/>
    <n v="49"/>
    <x v="2"/>
    <x v="1"/>
    <n v="50"/>
    <n v="200"/>
  </r>
  <r>
    <n v="120"/>
    <d v="2023-05-07T00:00:00"/>
    <x v="0"/>
    <x v="4"/>
    <x v="344"/>
    <s v="Male"/>
    <n v="60"/>
    <x v="1"/>
    <x v="2"/>
    <n v="50"/>
    <n v="50"/>
  </r>
  <r>
    <n v="221"/>
    <d v="2023-05-07T00:00:00"/>
    <x v="0"/>
    <x v="4"/>
    <x v="345"/>
    <s v="Male"/>
    <n v="39"/>
    <x v="1"/>
    <x v="3"/>
    <n v="300"/>
    <n v="600"/>
  </r>
  <r>
    <n v="341"/>
    <d v="2023-05-07T00:00:00"/>
    <x v="0"/>
    <x v="4"/>
    <x v="346"/>
    <s v="Male"/>
    <n v="31"/>
    <x v="0"/>
    <x v="1"/>
    <n v="50"/>
    <n v="200"/>
  </r>
  <r>
    <n v="640"/>
    <d v="2023-05-07T00:00:00"/>
    <x v="0"/>
    <x v="4"/>
    <x v="347"/>
    <s v="Female"/>
    <n v="51"/>
    <x v="2"/>
    <x v="1"/>
    <n v="30"/>
    <n v="120"/>
  </r>
  <r>
    <n v="744"/>
    <d v="2023-05-07T00:00:00"/>
    <x v="0"/>
    <x v="4"/>
    <x v="348"/>
    <s v="Male"/>
    <n v="40"/>
    <x v="2"/>
    <x v="2"/>
    <n v="25"/>
    <n v="25"/>
  </r>
  <r>
    <n v="273"/>
    <d v="2023-05-08T00:00:00"/>
    <x v="0"/>
    <x v="4"/>
    <x v="349"/>
    <s v="Female"/>
    <n v="22"/>
    <x v="1"/>
    <x v="2"/>
    <n v="50"/>
    <n v="50"/>
  </r>
  <r>
    <n v="283"/>
    <d v="2023-05-08T00:00:00"/>
    <x v="0"/>
    <x v="4"/>
    <x v="350"/>
    <s v="Female"/>
    <n v="18"/>
    <x v="2"/>
    <x v="2"/>
    <n v="500"/>
    <n v="500"/>
  </r>
  <r>
    <n v="452"/>
    <d v="2023-05-08T00:00:00"/>
    <x v="0"/>
    <x v="4"/>
    <x v="351"/>
    <s v="Female"/>
    <n v="48"/>
    <x v="0"/>
    <x v="0"/>
    <n v="500"/>
    <n v="1500"/>
  </r>
  <r>
    <n v="469"/>
    <d v="2023-05-08T00:00:00"/>
    <x v="0"/>
    <x v="4"/>
    <x v="352"/>
    <s v="Male"/>
    <n v="18"/>
    <x v="1"/>
    <x v="0"/>
    <n v="25"/>
    <n v="75"/>
  </r>
  <r>
    <n v="620"/>
    <d v="2023-05-08T00:00:00"/>
    <x v="0"/>
    <x v="4"/>
    <x v="353"/>
    <s v="Male"/>
    <n v="63"/>
    <x v="2"/>
    <x v="0"/>
    <n v="25"/>
    <n v="75"/>
  </r>
  <r>
    <n v="946"/>
    <d v="2023-05-08T00:00:00"/>
    <x v="0"/>
    <x v="4"/>
    <x v="354"/>
    <s v="Male"/>
    <n v="62"/>
    <x v="2"/>
    <x v="1"/>
    <n v="500"/>
    <n v="2000"/>
  </r>
  <r>
    <n v="148"/>
    <d v="2023-05-09T00:00:00"/>
    <x v="0"/>
    <x v="4"/>
    <x v="355"/>
    <s v="Male"/>
    <n v="18"/>
    <x v="0"/>
    <x v="3"/>
    <n v="30"/>
    <n v="60"/>
  </r>
  <r>
    <n v="414"/>
    <d v="2023-05-09T00:00:00"/>
    <x v="0"/>
    <x v="4"/>
    <x v="356"/>
    <s v="Male"/>
    <n v="48"/>
    <x v="1"/>
    <x v="1"/>
    <n v="25"/>
    <n v="100"/>
  </r>
  <r>
    <n v="883"/>
    <d v="2023-05-09T00:00:00"/>
    <x v="0"/>
    <x v="4"/>
    <x v="357"/>
    <s v="Male"/>
    <n v="40"/>
    <x v="2"/>
    <x v="2"/>
    <n v="500"/>
    <n v="500"/>
  </r>
  <r>
    <n v="731"/>
    <d v="2023-05-10T00:00:00"/>
    <x v="0"/>
    <x v="4"/>
    <x v="358"/>
    <s v="Male"/>
    <n v="54"/>
    <x v="0"/>
    <x v="1"/>
    <n v="500"/>
    <n v="2000"/>
  </r>
  <r>
    <n v="930"/>
    <d v="2023-05-10T00:00:00"/>
    <x v="0"/>
    <x v="4"/>
    <x v="359"/>
    <s v="Male"/>
    <n v="54"/>
    <x v="0"/>
    <x v="1"/>
    <n v="50"/>
    <n v="200"/>
  </r>
  <r>
    <n v="518"/>
    <d v="2023-05-11T00:00:00"/>
    <x v="0"/>
    <x v="4"/>
    <x v="360"/>
    <s v="Female"/>
    <n v="40"/>
    <x v="0"/>
    <x v="2"/>
    <n v="30"/>
    <n v="30"/>
  </r>
  <r>
    <n v="758"/>
    <d v="2023-05-12T00:00:00"/>
    <x v="0"/>
    <x v="4"/>
    <x v="361"/>
    <s v="Male"/>
    <n v="64"/>
    <x v="0"/>
    <x v="1"/>
    <n v="25"/>
    <n v="100"/>
  </r>
  <r>
    <n v="639"/>
    <d v="2023-05-13T00:00:00"/>
    <x v="0"/>
    <x v="4"/>
    <x v="362"/>
    <s v="Female"/>
    <n v="62"/>
    <x v="1"/>
    <x v="1"/>
    <n v="50"/>
    <n v="200"/>
  </r>
  <r>
    <n v="838"/>
    <d v="2023-05-13T00:00:00"/>
    <x v="0"/>
    <x v="4"/>
    <x v="363"/>
    <s v="Male"/>
    <n v="47"/>
    <x v="2"/>
    <x v="3"/>
    <n v="300"/>
    <n v="600"/>
  </r>
  <r>
    <n v="353"/>
    <d v="2023-05-14T00:00:00"/>
    <x v="0"/>
    <x v="4"/>
    <x v="364"/>
    <s v="Male"/>
    <n v="31"/>
    <x v="2"/>
    <x v="2"/>
    <n v="500"/>
    <n v="500"/>
  </r>
  <r>
    <n v="501"/>
    <d v="2023-05-14T00:00:00"/>
    <x v="0"/>
    <x v="4"/>
    <x v="365"/>
    <s v="Male"/>
    <n v="39"/>
    <x v="2"/>
    <x v="3"/>
    <n v="30"/>
    <n v="60"/>
  </r>
  <r>
    <n v="721"/>
    <d v="2023-05-14T00:00:00"/>
    <x v="0"/>
    <x v="4"/>
    <x v="366"/>
    <s v="Female"/>
    <n v="52"/>
    <x v="0"/>
    <x v="2"/>
    <n v="500"/>
    <n v="500"/>
  </r>
  <r>
    <n v="123"/>
    <d v="2023-05-15T00:00:00"/>
    <x v="0"/>
    <x v="4"/>
    <x v="367"/>
    <s v="Female"/>
    <n v="40"/>
    <x v="2"/>
    <x v="3"/>
    <n v="30"/>
    <n v="60"/>
  </r>
  <r>
    <n v="164"/>
    <d v="2023-05-15T00:00:00"/>
    <x v="0"/>
    <x v="4"/>
    <x v="368"/>
    <s v="Female"/>
    <n v="47"/>
    <x v="1"/>
    <x v="0"/>
    <n v="500"/>
    <n v="1500"/>
  </r>
  <r>
    <n v="425"/>
    <d v="2023-05-15T00:00:00"/>
    <x v="0"/>
    <x v="4"/>
    <x v="369"/>
    <s v="Female"/>
    <n v="55"/>
    <x v="2"/>
    <x v="1"/>
    <n v="30"/>
    <n v="120"/>
  </r>
  <r>
    <n v="48"/>
    <d v="2023-05-16T00:00:00"/>
    <x v="0"/>
    <x v="4"/>
    <x v="370"/>
    <s v="Male"/>
    <n v="54"/>
    <x v="2"/>
    <x v="0"/>
    <n v="300"/>
    <n v="900"/>
  </r>
  <r>
    <n v="118"/>
    <d v="2023-05-16T00:00:00"/>
    <x v="0"/>
    <x v="4"/>
    <x v="371"/>
    <s v="Female"/>
    <n v="30"/>
    <x v="2"/>
    <x v="1"/>
    <n v="500"/>
    <n v="2000"/>
  </r>
  <r>
    <n v="203"/>
    <d v="2023-05-16T00:00:00"/>
    <x v="0"/>
    <x v="4"/>
    <x v="372"/>
    <s v="Male"/>
    <n v="56"/>
    <x v="0"/>
    <x v="3"/>
    <n v="500"/>
    <n v="1000"/>
  </r>
  <r>
    <n v="305"/>
    <d v="2023-05-16T00:00:00"/>
    <x v="0"/>
    <x v="4"/>
    <x v="373"/>
    <s v="Female"/>
    <n v="18"/>
    <x v="1"/>
    <x v="2"/>
    <n v="30"/>
    <n v="30"/>
  </r>
  <r>
    <n v="358"/>
    <d v="2023-05-16T00:00:00"/>
    <x v="0"/>
    <x v="4"/>
    <x v="374"/>
    <s v="Female"/>
    <n v="32"/>
    <x v="1"/>
    <x v="2"/>
    <n v="300"/>
    <n v="300"/>
  </r>
  <r>
    <n v="376"/>
    <d v="2023-05-16T00:00:00"/>
    <x v="0"/>
    <x v="4"/>
    <x v="375"/>
    <s v="Female"/>
    <n v="64"/>
    <x v="1"/>
    <x v="2"/>
    <n v="30"/>
    <n v="30"/>
  </r>
  <r>
    <n v="398"/>
    <d v="2023-05-16T00:00:00"/>
    <x v="0"/>
    <x v="4"/>
    <x v="376"/>
    <s v="Female"/>
    <n v="48"/>
    <x v="0"/>
    <x v="3"/>
    <n v="300"/>
    <n v="600"/>
  </r>
  <r>
    <n v="411"/>
    <d v="2023-05-16T00:00:00"/>
    <x v="0"/>
    <x v="4"/>
    <x v="377"/>
    <s v="Male"/>
    <n v="62"/>
    <x v="2"/>
    <x v="1"/>
    <n v="50"/>
    <n v="200"/>
  </r>
  <r>
    <n v="504"/>
    <d v="2023-05-16T00:00:00"/>
    <x v="0"/>
    <x v="4"/>
    <x v="378"/>
    <s v="Female"/>
    <n v="38"/>
    <x v="1"/>
    <x v="0"/>
    <n v="50"/>
    <n v="150"/>
  </r>
  <r>
    <n v="970"/>
    <d v="2023-05-16T00:00:00"/>
    <x v="0"/>
    <x v="4"/>
    <x v="379"/>
    <s v="Male"/>
    <n v="59"/>
    <x v="2"/>
    <x v="1"/>
    <n v="500"/>
    <n v="2000"/>
  </r>
  <r>
    <n v="996"/>
    <d v="2023-05-16T00:00:00"/>
    <x v="0"/>
    <x v="4"/>
    <x v="380"/>
    <s v="Male"/>
    <n v="62"/>
    <x v="0"/>
    <x v="2"/>
    <n v="50"/>
    <n v="50"/>
  </r>
  <r>
    <n v="81"/>
    <d v="2023-05-17T00:00:00"/>
    <x v="0"/>
    <x v="4"/>
    <x v="381"/>
    <s v="Male"/>
    <n v="40"/>
    <x v="2"/>
    <x v="2"/>
    <n v="50"/>
    <n v="50"/>
  </r>
  <r>
    <n v="155"/>
    <d v="2023-05-17T00:00:00"/>
    <x v="0"/>
    <x v="4"/>
    <x v="382"/>
    <s v="Male"/>
    <n v="31"/>
    <x v="2"/>
    <x v="1"/>
    <n v="500"/>
    <n v="2000"/>
  </r>
  <r>
    <n v="470"/>
    <d v="2023-05-17T00:00:00"/>
    <x v="0"/>
    <x v="4"/>
    <x v="383"/>
    <s v="Female"/>
    <n v="57"/>
    <x v="0"/>
    <x v="3"/>
    <n v="500"/>
    <n v="1000"/>
  </r>
  <r>
    <n v="106"/>
    <d v="2023-05-18T00:00:00"/>
    <x v="0"/>
    <x v="4"/>
    <x v="384"/>
    <s v="Female"/>
    <n v="46"/>
    <x v="0"/>
    <x v="2"/>
    <n v="50"/>
    <n v="50"/>
  </r>
  <r>
    <n v="818"/>
    <d v="2023-05-18T00:00:00"/>
    <x v="0"/>
    <x v="4"/>
    <x v="385"/>
    <s v="Male"/>
    <n v="30"/>
    <x v="2"/>
    <x v="2"/>
    <n v="500"/>
    <n v="500"/>
  </r>
  <r>
    <n v="94"/>
    <d v="2023-05-19T00:00:00"/>
    <x v="0"/>
    <x v="4"/>
    <x v="386"/>
    <s v="Female"/>
    <n v="47"/>
    <x v="1"/>
    <x v="3"/>
    <n v="500"/>
    <n v="1000"/>
  </r>
  <r>
    <n v="811"/>
    <d v="2023-05-19T00:00:00"/>
    <x v="0"/>
    <x v="4"/>
    <x v="387"/>
    <s v="Male"/>
    <n v="61"/>
    <x v="1"/>
    <x v="3"/>
    <n v="25"/>
    <n v="50"/>
  </r>
  <r>
    <n v="881"/>
    <d v="2023-05-19T00:00:00"/>
    <x v="0"/>
    <x v="4"/>
    <x v="388"/>
    <s v="Male"/>
    <n v="22"/>
    <x v="2"/>
    <x v="2"/>
    <n v="300"/>
    <n v="300"/>
  </r>
  <r>
    <n v="403"/>
    <d v="2023-05-20T00:00:00"/>
    <x v="0"/>
    <x v="4"/>
    <x v="389"/>
    <s v="Male"/>
    <n v="32"/>
    <x v="0"/>
    <x v="3"/>
    <n v="300"/>
    <n v="600"/>
  </r>
  <r>
    <n v="653"/>
    <d v="2023-05-20T00:00:00"/>
    <x v="0"/>
    <x v="4"/>
    <x v="390"/>
    <s v="Male"/>
    <n v="54"/>
    <x v="0"/>
    <x v="0"/>
    <n v="25"/>
    <n v="75"/>
  </r>
  <r>
    <n v="694"/>
    <d v="2023-05-20T00:00:00"/>
    <x v="0"/>
    <x v="4"/>
    <x v="391"/>
    <s v="Female"/>
    <n v="39"/>
    <x v="2"/>
    <x v="3"/>
    <n v="25"/>
    <n v="50"/>
  </r>
  <r>
    <n v="4"/>
    <d v="2023-05-21T00:00:00"/>
    <x v="0"/>
    <x v="4"/>
    <x v="392"/>
    <s v="Male"/>
    <n v="37"/>
    <x v="0"/>
    <x v="2"/>
    <n v="500"/>
    <n v="500"/>
  </r>
  <r>
    <n v="647"/>
    <d v="2023-05-21T00:00:00"/>
    <x v="0"/>
    <x v="4"/>
    <x v="393"/>
    <s v="Male"/>
    <n v="59"/>
    <x v="0"/>
    <x v="0"/>
    <n v="500"/>
    <n v="1500"/>
  </r>
  <r>
    <n v="911"/>
    <d v="2023-05-21T00:00:00"/>
    <x v="0"/>
    <x v="4"/>
    <x v="394"/>
    <s v="Male"/>
    <n v="42"/>
    <x v="2"/>
    <x v="0"/>
    <n v="300"/>
    <n v="900"/>
  </r>
  <r>
    <n v="419"/>
    <d v="2023-05-22T00:00:00"/>
    <x v="0"/>
    <x v="4"/>
    <x v="395"/>
    <s v="Female"/>
    <n v="44"/>
    <x v="0"/>
    <x v="0"/>
    <n v="30"/>
    <n v="90"/>
  </r>
  <r>
    <n v="642"/>
    <d v="2023-05-22T00:00:00"/>
    <x v="0"/>
    <x v="4"/>
    <x v="396"/>
    <s v="Female"/>
    <n v="54"/>
    <x v="0"/>
    <x v="1"/>
    <n v="25"/>
    <n v="100"/>
  </r>
  <r>
    <n v="843"/>
    <d v="2023-05-22T00:00:00"/>
    <x v="0"/>
    <x v="4"/>
    <x v="397"/>
    <s v="Male"/>
    <n v="21"/>
    <x v="1"/>
    <x v="0"/>
    <n v="500"/>
    <n v="1500"/>
  </r>
  <r>
    <n v="895"/>
    <d v="2023-05-22T00:00:00"/>
    <x v="0"/>
    <x v="4"/>
    <x v="398"/>
    <s v="Female"/>
    <n v="55"/>
    <x v="0"/>
    <x v="1"/>
    <n v="30"/>
    <n v="120"/>
  </r>
  <r>
    <n v="31"/>
    <d v="2023-05-23T00:00:00"/>
    <x v="0"/>
    <x v="4"/>
    <x v="399"/>
    <s v="Male"/>
    <n v="44"/>
    <x v="2"/>
    <x v="1"/>
    <n v="300"/>
    <n v="1200"/>
  </r>
  <r>
    <n v="37"/>
    <d v="2023-05-23T00:00:00"/>
    <x v="0"/>
    <x v="4"/>
    <x v="400"/>
    <s v="Female"/>
    <n v="18"/>
    <x v="1"/>
    <x v="0"/>
    <n v="25"/>
    <n v="75"/>
  </r>
  <r>
    <n v="72"/>
    <d v="2023-05-23T00:00:00"/>
    <x v="0"/>
    <x v="4"/>
    <x v="401"/>
    <s v="Female"/>
    <n v="20"/>
    <x v="2"/>
    <x v="1"/>
    <n v="500"/>
    <n v="2000"/>
  </r>
  <r>
    <n v="243"/>
    <d v="2023-05-23T00:00:00"/>
    <x v="0"/>
    <x v="4"/>
    <x v="402"/>
    <s v="Female"/>
    <n v="47"/>
    <x v="2"/>
    <x v="0"/>
    <n v="300"/>
    <n v="900"/>
  </r>
  <r>
    <n v="281"/>
    <d v="2023-05-23T00:00:00"/>
    <x v="0"/>
    <x v="4"/>
    <x v="403"/>
    <s v="Female"/>
    <n v="29"/>
    <x v="1"/>
    <x v="1"/>
    <n v="500"/>
    <n v="2000"/>
  </r>
  <r>
    <n v="489"/>
    <d v="2023-05-23T00:00:00"/>
    <x v="0"/>
    <x v="4"/>
    <x v="404"/>
    <s v="Male"/>
    <n v="44"/>
    <x v="2"/>
    <x v="2"/>
    <n v="30"/>
    <n v="30"/>
  </r>
  <r>
    <n v="491"/>
    <d v="2023-05-23T00:00:00"/>
    <x v="0"/>
    <x v="4"/>
    <x v="405"/>
    <s v="Female"/>
    <n v="60"/>
    <x v="2"/>
    <x v="0"/>
    <n v="300"/>
    <n v="900"/>
  </r>
  <r>
    <n v="729"/>
    <d v="2023-05-23T00:00:00"/>
    <x v="0"/>
    <x v="4"/>
    <x v="406"/>
    <s v="Male"/>
    <n v="29"/>
    <x v="0"/>
    <x v="1"/>
    <n v="300"/>
    <n v="1200"/>
  </r>
  <r>
    <n v="822"/>
    <d v="2023-05-23T00:00:00"/>
    <x v="0"/>
    <x v="4"/>
    <x v="407"/>
    <s v="Female"/>
    <n v="52"/>
    <x v="1"/>
    <x v="0"/>
    <n v="50"/>
    <n v="150"/>
  </r>
  <r>
    <n v="840"/>
    <d v="2023-05-24T00:00:00"/>
    <x v="0"/>
    <x v="4"/>
    <x v="408"/>
    <s v="Male"/>
    <n v="62"/>
    <x v="0"/>
    <x v="3"/>
    <n v="25"/>
    <n v="50"/>
  </r>
  <r>
    <n v="404"/>
    <d v="2023-05-25T00:00:00"/>
    <x v="0"/>
    <x v="4"/>
    <x v="409"/>
    <s v="Male"/>
    <n v="46"/>
    <x v="2"/>
    <x v="3"/>
    <n v="500"/>
    <n v="1000"/>
  </r>
  <r>
    <n v="899"/>
    <d v="2023-05-25T00:00:00"/>
    <x v="0"/>
    <x v="4"/>
    <x v="410"/>
    <s v="Male"/>
    <n v="26"/>
    <x v="0"/>
    <x v="3"/>
    <n v="300"/>
    <n v="600"/>
  </r>
  <r>
    <n v="990"/>
    <d v="2023-05-25T00:00:00"/>
    <x v="0"/>
    <x v="4"/>
    <x v="411"/>
    <s v="Female"/>
    <n v="58"/>
    <x v="1"/>
    <x v="3"/>
    <n v="500"/>
    <n v="1000"/>
  </r>
  <r>
    <n v="382"/>
    <d v="2023-05-26T00:00:00"/>
    <x v="0"/>
    <x v="4"/>
    <x v="412"/>
    <s v="Female"/>
    <n v="53"/>
    <x v="0"/>
    <x v="3"/>
    <n v="500"/>
    <n v="1000"/>
  </r>
  <r>
    <n v="578"/>
    <d v="2023-05-26T00:00:00"/>
    <x v="0"/>
    <x v="4"/>
    <x v="413"/>
    <s v="Female"/>
    <n v="54"/>
    <x v="0"/>
    <x v="1"/>
    <n v="30"/>
    <n v="120"/>
  </r>
  <r>
    <n v="923"/>
    <d v="2023-05-26T00:00:00"/>
    <x v="0"/>
    <x v="4"/>
    <x v="414"/>
    <s v="Male"/>
    <n v="32"/>
    <x v="1"/>
    <x v="0"/>
    <n v="300"/>
    <n v="900"/>
  </r>
  <r>
    <n v="307"/>
    <d v="2023-05-27T00:00:00"/>
    <x v="0"/>
    <x v="4"/>
    <x v="415"/>
    <s v="Female"/>
    <n v="26"/>
    <x v="2"/>
    <x v="3"/>
    <n v="25"/>
    <n v="50"/>
  </r>
  <r>
    <n v="561"/>
    <d v="2023-05-27T00:00:00"/>
    <x v="0"/>
    <x v="4"/>
    <x v="416"/>
    <s v="Female"/>
    <n v="64"/>
    <x v="0"/>
    <x v="1"/>
    <n v="500"/>
    <n v="2000"/>
  </r>
  <r>
    <n v="651"/>
    <d v="2023-05-27T00:00:00"/>
    <x v="0"/>
    <x v="4"/>
    <x v="417"/>
    <s v="Male"/>
    <n v="51"/>
    <x v="0"/>
    <x v="0"/>
    <n v="50"/>
    <n v="150"/>
  </r>
  <r>
    <n v="988"/>
    <d v="2023-05-28T00:00:00"/>
    <x v="0"/>
    <x v="4"/>
    <x v="418"/>
    <s v="Female"/>
    <n v="63"/>
    <x v="0"/>
    <x v="0"/>
    <n v="25"/>
    <n v="75"/>
  </r>
  <r>
    <n v="67"/>
    <d v="2023-05-29T00:00:00"/>
    <x v="0"/>
    <x v="4"/>
    <x v="419"/>
    <s v="Female"/>
    <n v="48"/>
    <x v="1"/>
    <x v="1"/>
    <n v="300"/>
    <n v="1200"/>
  </r>
  <r>
    <n v="915"/>
    <d v="2023-05-30T00:00:00"/>
    <x v="0"/>
    <x v="4"/>
    <x v="420"/>
    <s v="Female"/>
    <n v="26"/>
    <x v="1"/>
    <x v="0"/>
    <n v="30"/>
    <n v="90"/>
  </r>
  <r>
    <n v="985"/>
    <d v="2023-05-30T00:00:00"/>
    <x v="0"/>
    <x v="4"/>
    <x v="421"/>
    <s v="Female"/>
    <n v="19"/>
    <x v="2"/>
    <x v="3"/>
    <n v="25"/>
    <n v="50"/>
  </r>
  <r>
    <n v="56"/>
    <d v="2023-05-31T00:00:00"/>
    <x v="0"/>
    <x v="4"/>
    <x v="422"/>
    <s v="Female"/>
    <n v="26"/>
    <x v="0"/>
    <x v="0"/>
    <n v="300"/>
    <n v="900"/>
  </r>
  <r>
    <n v="159"/>
    <d v="2023-05-31T00:00:00"/>
    <x v="0"/>
    <x v="4"/>
    <x v="423"/>
    <s v="Male"/>
    <n v="26"/>
    <x v="0"/>
    <x v="1"/>
    <n v="50"/>
    <n v="200"/>
  </r>
  <r>
    <n v="862"/>
    <d v="2023-05-31T00:00:00"/>
    <x v="0"/>
    <x v="4"/>
    <x v="424"/>
    <s v="Male"/>
    <n v="28"/>
    <x v="2"/>
    <x v="1"/>
    <n v="300"/>
    <n v="1200"/>
  </r>
  <r>
    <n v="315"/>
    <d v="2023-06-01T00:00:00"/>
    <x v="0"/>
    <x v="5"/>
    <x v="425"/>
    <s v="Male"/>
    <n v="47"/>
    <x v="0"/>
    <x v="3"/>
    <n v="30"/>
    <n v="60"/>
  </r>
  <r>
    <n v="545"/>
    <d v="2023-06-01T00:00:00"/>
    <x v="0"/>
    <x v="5"/>
    <x v="426"/>
    <s v="Male"/>
    <n v="27"/>
    <x v="0"/>
    <x v="3"/>
    <n v="25"/>
    <n v="50"/>
  </r>
  <r>
    <n v="902"/>
    <d v="2023-06-01T00:00:00"/>
    <x v="0"/>
    <x v="5"/>
    <x v="427"/>
    <s v="Female"/>
    <n v="54"/>
    <x v="1"/>
    <x v="2"/>
    <n v="50"/>
    <n v="50"/>
  </r>
  <r>
    <n v="170"/>
    <d v="2023-06-02T00:00:00"/>
    <x v="0"/>
    <x v="5"/>
    <x v="428"/>
    <s v="Female"/>
    <n v="25"/>
    <x v="0"/>
    <x v="3"/>
    <n v="25"/>
    <n v="50"/>
  </r>
  <r>
    <n v="685"/>
    <d v="2023-06-02T00:00:00"/>
    <x v="0"/>
    <x v="5"/>
    <x v="429"/>
    <s v="Male"/>
    <n v="57"/>
    <x v="2"/>
    <x v="3"/>
    <n v="25"/>
    <n v="50"/>
  </r>
  <r>
    <n v="958"/>
    <d v="2023-06-02T00:00:00"/>
    <x v="0"/>
    <x v="5"/>
    <x v="430"/>
    <s v="Male"/>
    <n v="62"/>
    <x v="2"/>
    <x v="3"/>
    <n v="25"/>
    <n v="50"/>
  </r>
  <r>
    <n v="363"/>
    <d v="2023-06-03T00:00:00"/>
    <x v="0"/>
    <x v="5"/>
    <x v="431"/>
    <s v="Male"/>
    <n v="64"/>
    <x v="1"/>
    <x v="2"/>
    <n v="25"/>
    <n v="25"/>
  </r>
  <r>
    <n v="394"/>
    <d v="2023-06-03T00:00:00"/>
    <x v="0"/>
    <x v="5"/>
    <x v="432"/>
    <s v="Female"/>
    <n v="27"/>
    <x v="0"/>
    <x v="2"/>
    <n v="500"/>
    <n v="500"/>
  </r>
  <r>
    <n v="537"/>
    <d v="2023-06-03T00:00:00"/>
    <x v="0"/>
    <x v="5"/>
    <x v="433"/>
    <s v="Female"/>
    <n v="21"/>
    <x v="1"/>
    <x v="2"/>
    <n v="500"/>
    <n v="500"/>
  </r>
  <r>
    <n v="387"/>
    <d v="2023-06-04T00:00:00"/>
    <x v="0"/>
    <x v="5"/>
    <x v="434"/>
    <s v="Male"/>
    <n v="44"/>
    <x v="1"/>
    <x v="2"/>
    <n v="30"/>
    <n v="30"/>
  </r>
  <r>
    <n v="556"/>
    <d v="2023-06-04T00:00:00"/>
    <x v="0"/>
    <x v="5"/>
    <x v="435"/>
    <s v="Female"/>
    <n v="18"/>
    <x v="2"/>
    <x v="2"/>
    <n v="50"/>
    <n v="50"/>
  </r>
  <r>
    <n v="782"/>
    <d v="2023-06-04T00:00:00"/>
    <x v="0"/>
    <x v="5"/>
    <x v="436"/>
    <s v="Male"/>
    <n v="59"/>
    <x v="0"/>
    <x v="0"/>
    <n v="300"/>
    <n v="900"/>
  </r>
  <r>
    <n v="906"/>
    <d v="2023-06-04T00:00:00"/>
    <x v="0"/>
    <x v="5"/>
    <x v="437"/>
    <s v="Female"/>
    <n v="20"/>
    <x v="0"/>
    <x v="2"/>
    <n v="50"/>
    <n v="50"/>
  </r>
  <r>
    <n v="560"/>
    <d v="2023-06-05T00:00:00"/>
    <x v="0"/>
    <x v="5"/>
    <x v="438"/>
    <s v="Female"/>
    <n v="25"/>
    <x v="2"/>
    <x v="2"/>
    <n v="50"/>
    <n v="50"/>
  </r>
  <r>
    <n v="944"/>
    <d v="2023-06-05T00:00:00"/>
    <x v="0"/>
    <x v="5"/>
    <x v="439"/>
    <s v="Male"/>
    <n v="44"/>
    <x v="0"/>
    <x v="3"/>
    <n v="25"/>
    <n v="50"/>
  </r>
  <r>
    <n v="481"/>
    <d v="2023-06-06T00:00:00"/>
    <x v="0"/>
    <x v="5"/>
    <x v="440"/>
    <s v="Female"/>
    <n v="43"/>
    <x v="2"/>
    <x v="1"/>
    <n v="300"/>
    <n v="1200"/>
  </r>
  <r>
    <n v="867"/>
    <d v="2023-06-06T00:00:00"/>
    <x v="0"/>
    <x v="5"/>
    <x v="441"/>
    <s v="Male"/>
    <n v="21"/>
    <x v="2"/>
    <x v="2"/>
    <n v="500"/>
    <n v="500"/>
  </r>
  <r>
    <n v="882"/>
    <d v="2023-06-06T00:00:00"/>
    <x v="0"/>
    <x v="5"/>
    <x v="442"/>
    <s v="Female"/>
    <n v="64"/>
    <x v="2"/>
    <x v="3"/>
    <n v="25"/>
    <n v="50"/>
  </r>
  <r>
    <n v="961"/>
    <d v="2023-06-06T00:00:00"/>
    <x v="0"/>
    <x v="5"/>
    <x v="443"/>
    <s v="Male"/>
    <n v="53"/>
    <x v="1"/>
    <x v="1"/>
    <n v="50"/>
    <n v="200"/>
  </r>
  <r>
    <n v="187"/>
    <d v="2023-06-07T00:00:00"/>
    <x v="0"/>
    <x v="5"/>
    <x v="444"/>
    <s v="Female"/>
    <n v="64"/>
    <x v="0"/>
    <x v="3"/>
    <n v="50"/>
    <n v="100"/>
  </r>
  <r>
    <n v="446"/>
    <d v="2023-06-07T00:00:00"/>
    <x v="0"/>
    <x v="5"/>
    <x v="445"/>
    <s v="Male"/>
    <n v="21"/>
    <x v="2"/>
    <x v="2"/>
    <n v="50"/>
    <n v="50"/>
  </r>
  <r>
    <n v="539"/>
    <d v="2023-06-08T00:00:00"/>
    <x v="0"/>
    <x v="5"/>
    <x v="446"/>
    <s v="Male"/>
    <n v="25"/>
    <x v="1"/>
    <x v="2"/>
    <n v="500"/>
    <n v="500"/>
  </r>
  <r>
    <n v="587"/>
    <d v="2023-06-08T00:00:00"/>
    <x v="0"/>
    <x v="5"/>
    <x v="447"/>
    <s v="Female"/>
    <n v="40"/>
    <x v="1"/>
    <x v="1"/>
    <n v="300"/>
    <n v="1200"/>
  </r>
  <r>
    <n v="212"/>
    <d v="2023-06-09T00:00:00"/>
    <x v="0"/>
    <x v="5"/>
    <x v="448"/>
    <s v="Male"/>
    <n v="21"/>
    <x v="0"/>
    <x v="0"/>
    <n v="500"/>
    <n v="1500"/>
  </r>
  <r>
    <n v="765"/>
    <d v="2023-06-09T00:00:00"/>
    <x v="0"/>
    <x v="5"/>
    <x v="449"/>
    <s v="Male"/>
    <n v="43"/>
    <x v="0"/>
    <x v="1"/>
    <n v="50"/>
    <n v="200"/>
  </r>
  <r>
    <n v="769"/>
    <d v="2023-06-09T00:00:00"/>
    <x v="0"/>
    <x v="5"/>
    <x v="450"/>
    <s v="Female"/>
    <n v="31"/>
    <x v="2"/>
    <x v="1"/>
    <n v="30"/>
    <n v="120"/>
  </r>
  <r>
    <n v="321"/>
    <d v="2023-06-10T00:00:00"/>
    <x v="0"/>
    <x v="5"/>
    <x v="451"/>
    <s v="Female"/>
    <n v="26"/>
    <x v="2"/>
    <x v="3"/>
    <n v="25"/>
    <n v="50"/>
  </r>
  <r>
    <n v="356"/>
    <d v="2023-06-10T00:00:00"/>
    <x v="0"/>
    <x v="5"/>
    <x v="452"/>
    <s v="Male"/>
    <n v="50"/>
    <x v="2"/>
    <x v="0"/>
    <n v="500"/>
    <n v="1500"/>
  </r>
  <r>
    <n v="510"/>
    <d v="2023-06-10T00:00:00"/>
    <x v="0"/>
    <x v="5"/>
    <x v="453"/>
    <s v="Female"/>
    <n v="39"/>
    <x v="1"/>
    <x v="1"/>
    <n v="50"/>
    <n v="200"/>
  </r>
  <r>
    <n v="534"/>
    <d v="2023-06-10T00:00:00"/>
    <x v="0"/>
    <x v="5"/>
    <x v="454"/>
    <s v="Male"/>
    <n v="45"/>
    <x v="0"/>
    <x v="3"/>
    <n v="500"/>
    <n v="1000"/>
  </r>
  <r>
    <n v="104"/>
    <d v="2023-06-11T00:00:00"/>
    <x v="0"/>
    <x v="5"/>
    <x v="455"/>
    <s v="Female"/>
    <n v="34"/>
    <x v="1"/>
    <x v="3"/>
    <n v="500"/>
    <n v="1000"/>
  </r>
  <r>
    <n v="110"/>
    <d v="2023-06-11T00:00:00"/>
    <x v="0"/>
    <x v="5"/>
    <x v="456"/>
    <s v="Male"/>
    <n v="27"/>
    <x v="0"/>
    <x v="0"/>
    <n v="300"/>
    <n v="900"/>
  </r>
  <r>
    <n v="352"/>
    <d v="2023-06-11T00:00:00"/>
    <x v="0"/>
    <x v="5"/>
    <x v="457"/>
    <s v="Male"/>
    <n v="57"/>
    <x v="2"/>
    <x v="3"/>
    <n v="500"/>
    <n v="1000"/>
  </r>
  <r>
    <n v="365"/>
    <d v="2023-06-11T00:00:00"/>
    <x v="0"/>
    <x v="5"/>
    <x v="458"/>
    <s v="Male"/>
    <n v="31"/>
    <x v="0"/>
    <x v="2"/>
    <n v="300"/>
    <n v="300"/>
  </r>
  <r>
    <n v="887"/>
    <d v="2023-06-11T00:00:00"/>
    <x v="0"/>
    <x v="5"/>
    <x v="459"/>
    <s v="Male"/>
    <n v="59"/>
    <x v="0"/>
    <x v="1"/>
    <n v="25"/>
    <n v="100"/>
  </r>
  <r>
    <n v="629"/>
    <d v="2023-06-12T00:00:00"/>
    <x v="0"/>
    <x v="5"/>
    <x v="460"/>
    <s v="Male"/>
    <n v="62"/>
    <x v="2"/>
    <x v="3"/>
    <n v="25"/>
    <n v="50"/>
  </r>
  <r>
    <n v="655"/>
    <d v="2023-06-13T00:00:00"/>
    <x v="0"/>
    <x v="5"/>
    <x v="461"/>
    <s v="Female"/>
    <n v="55"/>
    <x v="0"/>
    <x v="2"/>
    <n v="500"/>
    <n v="500"/>
  </r>
  <r>
    <n v="567"/>
    <d v="2023-06-14T00:00:00"/>
    <x v="0"/>
    <x v="5"/>
    <x v="462"/>
    <s v="Female"/>
    <n v="25"/>
    <x v="0"/>
    <x v="0"/>
    <n v="300"/>
    <n v="900"/>
  </r>
  <r>
    <n v="182"/>
    <d v="2023-06-15T00:00:00"/>
    <x v="0"/>
    <x v="5"/>
    <x v="463"/>
    <s v="Male"/>
    <n v="62"/>
    <x v="1"/>
    <x v="1"/>
    <n v="30"/>
    <n v="120"/>
  </r>
  <r>
    <n v="819"/>
    <d v="2023-06-15T00:00:00"/>
    <x v="0"/>
    <x v="5"/>
    <x v="464"/>
    <s v="Female"/>
    <n v="35"/>
    <x v="1"/>
    <x v="3"/>
    <n v="50"/>
    <n v="100"/>
  </r>
  <r>
    <n v="100"/>
    <d v="2023-06-16T00:00:00"/>
    <x v="0"/>
    <x v="5"/>
    <x v="465"/>
    <s v="Male"/>
    <n v="41"/>
    <x v="2"/>
    <x v="2"/>
    <n v="30"/>
    <n v="30"/>
  </r>
  <r>
    <n v="833"/>
    <d v="2023-06-16T00:00:00"/>
    <x v="0"/>
    <x v="5"/>
    <x v="466"/>
    <s v="Male"/>
    <n v="42"/>
    <x v="1"/>
    <x v="1"/>
    <n v="50"/>
    <n v="200"/>
  </r>
  <r>
    <n v="542"/>
    <d v="2023-06-17T00:00:00"/>
    <x v="0"/>
    <x v="5"/>
    <x v="467"/>
    <s v="Female"/>
    <n v="20"/>
    <x v="1"/>
    <x v="2"/>
    <n v="50"/>
    <n v="50"/>
  </r>
  <r>
    <n v="723"/>
    <d v="2023-06-17T00:00:00"/>
    <x v="0"/>
    <x v="5"/>
    <x v="468"/>
    <s v="Female"/>
    <n v="54"/>
    <x v="1"/>
    <x v="1"/>
    <n v="50"/>
    <n v="200"/>
  </r>
  <r>
    <n v="726"/>
    <d v="2023-06-17T00:00:00"/>
    <x v="0"/>
    <x v="5"/>
    <x v="469"/>
    <s v="Male"/>
    <n v="47"/>
    <x v="0"/>
    <x v="1"/>
    <n v="300"/>
    <n v="1200"/>
  </r>
  <r>
    <n v="488"/>
    <d v="2023-06-18T00:00:00"/>
    <x v="0"/>
    <x v="5"/>
    <x v="470"/>
    <s v="Female"/>
    <n v="51"/>
    <x v="2"/>
    <x v="0"/>
    <n v="300"/>
    <n v="900"/>
  </r>
  <r>
    <n v="239"/>
    <d v="2023-06-19T00:00:00"/>
    <x v="0"/>
    <x v="5"/>
    <x v="471"/>
    <s v="Male"/>
    <n v="38"/>
    <x v="2"/>
    <x v="0"/>
    <n v="500"/>
    <n v="1500"/>
  </r>
  <r>
    <n v="498"/>
    <d v="2023-06-19T00:00:00"/>
    <x v="0"/>
    <x v="5"/>
    <x v="472"/>
    <s v="Female"/>
    <n v="50"/>
    <x v="0"/>
    <x v="1"/>
    <n v="25"/>
    <n v="100"/>
  </r>
  <r>
    <n v="532"/>
    <d v="2023-06-19T00:00:00"/>
    <x v="0"/>
    <x v="5"/>
    <x v="473"/>
    <s v="Female"/>
    <n v="64"/>
    <x v="0"/>
    <x v="1"/>
    <n v="30"/>
    <n v="120"/>
  </r>
  <r>
    <n v="669"/>
    <d v="2023-06-19T00:00:00"/>
    <x v="0"/>
    <x v="5"/>
    <x v="474"/>
    <s v="Male"/>
    <n v="24"/>
    <x v="1"/>
    <x v="1"/>
    <n v="300"/>
    <n v="1200"/>
  </r>
  <r>
    <n v="877"/>
    <d v="2023-06-19T00:00:00"/>
    <x v="0"/>
    <x v="5"/>
    <x v="475"/>
    <s v="Female"/>
    <n v="58"/>
    <x v="0"/>
    <x v="2"/>
    <n v="25"/>
    <n v="25"/>
  </r>
  <r>
    <n v="422"/>
    <d v="2023-06-20T00:00:00"/>
    <x v="0"/>
    <x v="5"/>
    <x v="476"/>
    <s v="Female"/>
    <n v="28"/>
    <x v="0"/>
    <x v="0"/>
    <n v="30"/>
    <n v="90"/>
  </r>
  <r>
    <n v="466"/>
    <d v="2023-06-20T00:00:00"/>
    <x v="0"/>
    <x v="5"/>
    <x v="477"/>
    <s v="Male"/>
    <n v="63"/>
    <x v="2"/>
    <x v="1"/>
    <n v="25"/>
    <n v="100"/>
  </r>
  <r>
    <n v="583"/>
    <d v="2023-06-21T00:00:00"/>
    <x v="0"/>
    <x v="5"/>
    <x v="478"/>
    <s v="Female"/>
    <n v="24"/>
    <x v="2"/>
    <x v="1"/>
    <n v="25"/>
    <n v="100"/>
  </r>
  <r>
    <n v="654"/>
    <d v="2023-06-21T00:00:00"/>
    <x v="0"/>
    <x v="5"/>
    <x v="479"/>
    <s v="Male"/>
    <n v="42"/>
    <x v="0"/>
    <x v="0"/>
    <n v="25"/>
    <n v="75"/>
  </r>
  <r>
    <n v="40"/>
    <d v="2023-06-22T00:00:00"/>
    <x v="0"/>
    <x v="5"/>
    <x v="480"/>
    <s v="Male"/>
    <n v="45"/>
    <x v="1"/>
    <x v="2"/>
    <n v="50"/>
    <n v="50"/>
  </r>
  <r>
    <n v="699"/>
    <d v="2023-06-22T00:00:00"/>
    <x v="0"/>
    <x v="5"/>
    <x v="481"/>
    <s v="Female"/>
    <n v="37"/>
    <x v="0"/>
    <x v="1"/>
    <n v="30"/>
    <n v="120"/>
  </r>
  <r>
    <n v="727"/>
    <d v="2023-06-22T00:00:00"/>
    <x v="0"/>
    <x v="5"/>
    <x v="482"/>
    <s v="Male"/>
    <n v="55"/>
    <x v="1"/>
    <x v="0"/>
    <n v="300"/>
    <n v="900"/>
  </r>
  <r>
    <n v="830"/>
    <d v="2023-06-22T00:00:00"/>
    <x v="0"/>
    <x v="5"/>
    <x v="483"/>
    <s v="Female"/>
    <n v="64"/>
    <x v="0"/>
    <x v="0"/>
    <n v="50"/>
    <n v="150"/>
  </r>
  <r>
    <n v="224"/>
    <d v="2023-06-23T00:00:00"/>
    <x v="0"/>
    <x v="5"/>
    <x v="484"/>
    <s v="Female"/>
    <n v="25"/>
    <x v="0"/>
    <x v="2"/>
    <n v="50"/>
    <n v="50"/>
  </r>
  <r>
    <n v="271"/>
    <d v="2023-06-23T00:00:00"/>
    <x v="0"/>
    <x v="5"/>
    <x v="485"/>
    <s v="Female"/>
    <n v="62"/>
    <x v="1"/>
    <x v="1"/>
    <n v="30"/>
    <n v="120"/>
  </r>
  <r>
    <n v="36"/>
    <d v="2023-06-24T00:00:00"/>
    <x v="0"/>
    <x v="5"/>
    <x v="486"/>
    <s v="Male"/>
    <n v="52"/>
    <x v="1"/>
    <x v="0"/>
    <n v="300"/>
    <n v="900"/>
  </r>
  <r>
    <n v="157"/>
    <d v="2023-06-24T00:00:00"/>
    <x v="0"/>
    <x v="5"/>
    <x v="487"/>
    <s v="Male"/>
    <n v="62"/>
    <x v="2"/>
    <x v="1"/>
    <n v="500"/>
    <n v="2000"/>
  </r>
  <r>
    <n v="796"/>
    <d v="2023-06-24T00:00:00"/>
    <x v="0"/>
    <x v="5"/>
    <x v="488"/>
    <s v="Male"/>
    <n v="43"/>
    <x v="1"/>
    <x v="1"/>
    <n v="30"/>
    <n v="120"/>
  </r>
  <r>
    <n v="839"/>
    <d v="2023-06-24T00:00:00"/>
    <x v="0"/>
    <x v="5"/>
    <x v="489"/>
    <s v="Female"/>
    <n v="20"/>
    <x v="2"/>
    <x v="1"/>
    <n v="300"/>
    <n v="1200"/>
  </r>
  <r>
    <n v="927"/>
    <d v="2023-06-24T00:00:00"/>
    <x v="0"/>
    <x v="5"/>
    <x v="490"/>
    <s v="Male"/>
    <n v="43"/>
    <x v="2"/>
    <x v="1"/>
    <n v="500"/>
    <n v="2000"/>
  </r>
  <r>
    <n v="407"/>
    <d v="2023-06-25T00:00:00"/>
    <x v="0"/>
    <x v="5"/>
    <x v="491"/>
    <s v="Female"/>
    <n v="46"/>
    <x v="2"/>
    <x v="0"/>
    <n v="300"/>
    <n v="900"/>
  </r>
  <r>
    <n v="46"/>
    <d v="2023-06-26T00:00:00"/>
    <x v="0"/>
    <x v="5"/>
    <x v="492"/>
    <s v="Female"/>
    <n v="20"/>
    <x v="2"/>
    <x v="1"/>
    <n v="300"/>
    <n v="1200"/>
  </r>
  <r>
    <n v="509"/>
    <d v="2023-06-26T00:00:00"/>
    <x v="0"/>
    <x v="5"/>
    <x v="493"/>
    <s v="Female"/>
    <n v="37"/>
    <x v="2"/>
    <x v="0"/>
    <n v="300"/>
    <n v="900"/>
  </r>
  <r>
    <n v="874"/>
    <d v="2023-06-26T00:00:00"/>
    <x v="0"/>
    <x v="5"/>
    <x v="494"/>
    <s v="Male"/>
    <n v="60"/>
    <x v="1"/>
    <x v="2"/>
    <n v="30"/>
    <n v="30"/>
  </r>
  <r>
    <n v="788"/>
    <d v="2023-06-27T00:00:00"/>
    <x v="0"/>
    <x v="5"/>
    <x v="495"/>
    <s v="Female"/>
    <n v="52"/>
    <x v="1"/>
    <x v="0"/>
    <n v="300"/>
    <n v="900"/>
  </r>
  <r>
    <n v="378"/>
    <d v="2023-06-28T00:00:00"/>
    <x v="0"/>
    <x v="5"/>
    <x v="496"/>
    <s v="Male"/>
    <n v="50"/>
    <x v="1"/>
    <x v="2"/>
    <n v="300"/>
    <n v="300"/>
  </r>
  <r>
    <n v="480"/>
    <d v="2023-06-29T00:00:00"/>
    <x v="0"/>
    <x v="5"/>
    <x v="497"/>
    <s v="Female"/>
    <n v="42"/>
    <x v="1"/>
    <x v="1"/>
    <n v="500"/>
    <n v="2000"/>
  </r>
  <r>
    <n v="492"/>
    <d v="2023-06-29T00:00:00"/>
    <x v="0"/>
    <x v="5"/>
    <x v="498"/>
    <s v="Male"/>
    <n v="61"/>
    <x v="1"/>
    <x v="1"/>
    <n v="25"/>
    <n v="100"/>
  </r>
  <r>
    <n v="737"/>
    <d v="2023-06-29T00:00:00"/>
    <x v="0"/>
    <x v="5"/>
    <x v="499"/>
    <s v="Female"/>
    <n v="33"/>
    <x v="0"/>
    <x v="2"/>
    <n v="50"/>
    <n v="50"/>
  </r>
  <r>
    <n v="684"/>
    <d v="2023-06-30T00:00:00"/>
    <x v="0"/>
    <x v="5"/>
    <x v="500"/>
    <s v="Female"/>
    <n v="28"/>
    <x v="0"/>
    <x v="3"/>
    <n v="500"/>
    <n v="1000"/>
  </r>
  <r>
    <n v="878"/>
    <d v="2023-06-30T00:00:00"/>
    <x v="0"/>
    <x v="5"/>
    <x v="501"/>
    <s v="Female"/>
    <n v="20"/>
    <x v="0"/>
    <x v="2"/>
    <n v="30"/>
    <n v="30"/>
  </r>
  <r>
    <n v="78"/>
    <d v="2023-07-01T00:00:00"/>
    <x v="0"/>
    <x v="6"/>
    <x v="502"/>
    <s v="Female"/>
    <n v="47"/>
    <x v="0"/>
    <x v="0"/>
    <n v="500"/>
    <n v="1500"/>
  </r>
  <r>
    <n v="260"/>
    <d v="2023-07-01T00:00:00"/>
    <x v="0"/>
    <x v="6"/>
    <x v="503"/>
    <s v="Male"/>
    <n v="28"/>
    <x v="1"/>
    <x v="3"/>
    <n v="30"/>
    <n v="60"/>
  </r>
  <r>
    <n v="455"/>
    <d v="2023-07-01T00:00:00"/>
    <x v="0"/>
    <x v="6"/>
    <x v="504"/>
    <s v="Male"/>
    <n v="31"/>
    <x v="2"/>
    <x v="1"/>
    <n v="25"/>
    <n v="100"/>
  </r>
  <r>
    <n v="837"/>
    <d v="2023-07-01T00:00:00"/>
    <x v="0"/>
    <x v="6"/>
    <x v="505"/>
    <s v="Male"/>
    <n v="18"/>
    <x v="1"/>
    <x v="0"/>
    <n v="30"/>
    <n v="90"/>
  </r>
  <r>
    <n v="45"/>
    <d v="2023-07-03T00:00:00"/>
    <x v="0"/>
    <x v="6"/>
    <x v="506"/>
    <s v="Female"/>
    <n v="55"/>
    <x v="2"/>
    <x v="2"/>
    <n v="30"/>
    <n v="30"/>
  </r>
  <r>
    <n v="449"/>
    <d v="2023-07-03T00:00:00"/>
    <x v="0"/>
    <x v="6"/>
    <x v="507"/>
    <s v="Male"/>
    <n v="25"/>
    <x v="2"/>
    <x v="1"/>
    <n v="50"/>
    <n v="200"/>
  </r>
  <r>
    <n v="904"/>
    <d v="2023-07-04T00:00:00"/>
    <x v="0"/>
    <x v="6"/>
    <x v="508"/>
    <s v="Male"/>
    <n v="28"/>
    <x v="0"/>
    <x v="2"/>
    <n v="500"/>
    <n v="500"/>
  </r>
  <r>
    <n v="59"/>
    <d v="2023-07-05T00:00:00"/>
    <x v="0"/>
    <x v="6"/>
    <x v="509"/>
    <s v="Male"/>
    <n v="62"/>
    <x v="0"/>
    <x v="2"/>
    <n v="50"/>
    <n v="50"/>
  </r>
  <r>
    <n v="128"/>
    <d v="2023-07-05T00:00:00"/>
    <x v="0"/>
    <x v="6"/>
    <x v="510"/>
    <s v="Male"/>
    <n v="25"/>
    <x v="1"/>
    <x v="2"/>
    <n v="500"/>
    <n v="500"/>
  </r>
  <r>
    <n v="186"/>
    <d v="2023-07-05T00:00:00"/>
    <x v="0"/>
    <x v="6"/>
    <x v="511"/>
    <s v="Male"/>
    <n v="20"/>
    <x v="0"/>
    <x v="1"/>
    <n v="50"/>
    <n v="200"/>
  </r>
  <r>
    <n v="802"/>
    <d v="2023-07-05T00:00:00"/>
    <x v="0"/>
    <x v="6"/>
    <x v="512"/>
    <s v="Female"/>
    <n v="46"/>
    <x v="1"/>
    <x v="2"/>
    <n v="30"/>
    <n v="30"/>
  </r>
  <r>
    <n v="75"/>
    <d v="2023-07-06T00:00:00"/>
    <x v="0"/>
    <x v="6"/>
    <x v="513"/>
    <s v="Male"/>
    <n v="61"/>
    <x v="1"/>
    <x v="1"/>
    <n v="50"/>
    <n v="200"/>
  </r>
  <r>
    <n v="447"/>
    <d v="2023-07-06T00:00:00"/>
    <x v="0"/>
    <x v="6"/>
    <x v="514"/>
    <s v="Male"/>
    <n v="22"/>
    <x v="1"/>
    <x v="1"/>
    <n v="500"/>
    <n v="2000"/>
  </r>
  <r>
    <n v="528"/>
    <d v="2023-07-06T00:00:00"/>
    <x v="0"/>
    <x v="6"/>
    <x v="515"/>
    <s v="Female"/>
    <n v="36"/>
    <x v="0"/>
    <x v="3"/>
    <n v="30"/>
    <n v="60"/>
  </r>
  <r>
    <n v="759"/>
    <d v="2023-07-08T00:00:00"/>
    <x v="0"/>
    <x v="6"/>
    <x v="516"/>
    <s v="Male"/>
    <n v="49"/>
    <x v="2"/>
    <x v="3"/>
    <n v="50"/>
    <n v="100"/>
  </r>
  <r>
    <n v="870"/>
    <d v="2023-07-08T00:00:00"/>
    <x v="0"/>
    <x v="6"/>
    <x v="517"/>
    <s v="Female"/>
    <n v="46"/>
    <x v="2"/>
    <x v="1"/>
    <n v="30"/>
    <n v="120"/>
  </r>
  <r>
    <n v="77"/>
    <d v="2023-07-09T00:00:00"/>
    <x v="0"/>
    <x v="6"/>
    <x v="518"/>
    <s v="Female"/>
    <n v="47"/>
    <x v="0"/>
    <x v="3"/>
    <n v="50"/>
    <n v="100"/>
  </r>
  <r>
    <n v="381"/>
    <d v="2023-07-09T00:00:00"/>
    <x v="0"/>
    <x v="6"/>
    <x v="519"/>
    <s v="Female"/>
    <n v="44"/>
    <x v="0"/>
    <x v="1"/>
    <n v="25"/>
    <n v="100"/>
  </r>
  <r>
    <n v="439"/>
    <d v="2023-07-09T00:00:00"/>
    <x v="0"/>
    <x v="6"/>
    <x v="520"/>
    <s v="Male"/>
    <n v="50"/>
    <x v="0"/>
    <x v="0"/>
    <n v="25"/>
    <n v="75"/>
  </r>
  <r>
    <n v="792"/>
    <d v="2023-07-09T00:00:00"/>
    <x v="0"/>
    <x v="6"/>
    <x v="521"/>
    <s v="Female"/>
    <n v="20"/>
    <x v="1"/>
    <x v="2"/>
    <n v="50"/>
    <n v="50"/>
  </r>
  <r>
    <n v="176"/>
    <d v="2023-07-11T00:00:00"/>
    <x v="0"/>
    <x v="6"/>
    <x v="522"/>
    <s v="Female"/>
    <n v="43"/>
    <x v="1"/>
    <x v="3"/>
    <n v="50"/>
    <n v="100"/>
  </r>
  <r>
    <n v="216"/>
    <d v="2023-07-11T00:00:00"/>
    <x v="0"/>
    <x v="6"/>
    <x v="523"/>
    <s v="Male"/>
    <n v="62"/>
    <x v="2"/>
    <x v="3"/>
    <n v="50"/>
    <n v="100"/>
  </r>
  <r>
    <n v="772"/>
    <d v="2023-07-12T00:00:00"/>
    <x v="0"/>
    <x v="6"/>
    <x v="524"/>
    <s v="Male"/>
    <n v="26"/>
    <x v="2"/>
    <x v="2"/>
    <n v="30"/>
    <n v="30"/>
  </r>
  <r>
    <n v="53"/>
    <d v="2023-07-13T00:00:00"/>
    <x v="0"/>
    <x v="6"/>
    <x v="525"/>
    <s v="Male"/>
    <n v="34"/>
    <x v="2"/>
    <x v="3"/>
    <n v="50"/>
    <n v="100"/>
  </r>
  <r>
    <n v="43"/>
    <d v="2023-07-14T00:00:00"/>
    <x v="0"/>
    <x v="6"/>
    <x v="526"/>
    <s v="Female"/>
    <n v="48"/>
    <x v="0"/>
    <x v="2"/>
    <n v="300"/>
    <n v="300"/>
  </r>
  <r>
    <n v="71"/>
    <d v="2023-07-14T00:00:00"/>
    <x v="0"/>
    <x v="6"/>
    <x v="527"/>
    <s v="Female"/>
    <n v="51"/>
    <x v="1"/>
    <x v="1"/>
    <n v="25"/>
    <n v="100"/>
  </r>
  <r>
    <n v="93"/>
    <d v="2023-07-14T00:00:00"/>
    <x v="0"/>
    <x v="6"/>
    <x v="528"/>
    <s v="Female"/>
    <n v="35"/>
    <x v="1"/>
    <x v="1"/>
    <n v="500"/>
    <n v="2000"/>
  </r>
  <r>
    <n v="302"/>
    <d v="2023-07-14T00:00:00"/>
    <x v="0"/>
    <x v="6"/>
    <x v="529"/>
    <s v="Male"/>
    <n v="57"/>
    <x v="1"/>
    <x v="3"/>
    <n v="300"/>
    <n v="600"/>
  </r>
  <r>
    <n v="551"/>
    <d v="2023-07-14T00:00:00"/>
    <x v="0"/>
    <x v="6"/>
    <x v="530"/>
    <s v="Male"/>
    <n v="45"/>
    <x v="2"/>
    <x v="0"/>
    <n v="300"/>
    <n v="900"/>
  </r>
  <r>
    <n v="681"/>
    <d v="2023-07-14T00:00:00"/>
    <x v="0"/>
    <x v="6"/>
    <x v="531"/>
    <s v="Female"/>
    <n v="43"/>
    <x v="2"/>
    <x v="3"/>
    <n v="30"/>
    <n v="60"/>
  </r>
  <r>
    <n v="722"/>
    <d v="2023-07-14T00:00:00"/>
    <x v="0"/>
    <x v="6"/>
    <x v="532"/>
    <s v="Male"/>
    <n v="20"/>
    <x v="1"/>
    <x v="0"/>
    <n v="300"/>
    <n v="900"/>
  </r>
  <r>
    <n v="728"/>
    <d v="2023-07-14T00:00:00"/>
    <x v="0"/>
    <x v="6"/>
    <x v="533"/>
    <s v="Male"/>
    <n v="51"/>
    <x v="2"/>
    <x v="0"/>
    <n v="50"/>
    <n v="150"/>
  </r>
  <r>
    <n v="829"/>
    <d v="2023-07-14T00:00:00"/>
    <x v="0"/>
    <x v="6"/>
    <x v="534"/>
    <s v="Male"/>
    <n v="61"/>
    <x v="1"/>
    <x v="0"/>
    <n v="30"/>
    <n v="90"/>
  </r>
  <r>
    <n v="955"/>
    <d v="2023-07-14T00:00:00"/>
    <x v="0"/>
    <x v="6"/>
    <x v="535"/>
    <s v="Male"/>
    <n v="58"/>
    <x v="0"/>
    <x v="2"/>
    <n v="25"/>
    <n v="25"/>
  </r>
  <r>
    <n v="144"/>
    <d v="2023-07-15T00:00:00"/>
    <x v="0"/>
    <x v="6"/>
    <x v="536"/>
    <s v="Female"/>
    <n v="59"/>
    <x v="1"/>
    <x v="0"/>
    <n v="500"/>
    <n v="1500"/>
  </r>
  <r>
    <n v="474"/>
    <d v="2023-07-15T00:00:00"/>
    <x v="0"/>
    <x v="6"/>
    <x v="537"/>
    <s v="Female"/>
    <n v="26"/>
    <x v="0"/>
    <x v="0"/>
    <n v="500"/>
    <n v="1500"/>
  </r>
  <r>
    <n v="603"/>
    <d v="2023-07-16T00:00:00"/>
    <x v="0"/>
    <x v="6"/>
    <x v="538"/>
    <s v="Female"/>
    <n v="40"/>
    <x v="0"/>
    <x v="0"/>
    <n v="30"/>
    <n v="90"/>
  </r>
  <r>
    <n v="661"/>
    <d v="2023-07-16T00:00:00"/>
    <x v="0"/>
    <x v="6"/>
    <x v="539"/>
    <s v="Female"/>
    <n v="44"/>
    <x v="0"/>
    <x v="1"/>
    <n v="25"/>
    <n v="100"/>
  </r>
  <r>
    <n v="143"/>
    <d v="2023-07-17T00:00:00"/>
    <x v="0"/>
    <x v="6"/>
    <x v="540"/>
    <s v="Female"/>
    <n v="45"/>
    <x v="0"/>
    <x v="2"/>
    <n v="50"/>
    <n v="50"/>
  </r>
  <r>
    <n v="515"/>
    <d v="2023-07-17T00:00:00"/>
    <x v="0"/>
    <x v="6"/>
    <x v="541"/>
    <s v="Female"/>
    <n v="49"/>
    <x v="0"/>
    <x v="0"/>
    <n v="300"/>
    <n v="900"/>
  </r>
  <r>
    <n v="304"/>
    <d v="2023-07-19T00:00:00"/>
    <x v="0"/>
    <x v="6"/>
    <x v="542"/>
    <s v="Female"/>
    <n v="37"/>
    <x v="2"/>
    <x v="3"/>
    <n v="30"/>
    <n v="60"/>
  </r>
  <r>
    <n v="676"/>
    <d v="2023-07-19T00:00:00"/>
    <x v="0"/>
    <x v="6"/>
    <x v="543"/>
    <s v="Male"/>
    <n v="63"/>
    <x v="2"/>
    <x v="0"/>
    <n v="500"/>
    <n v="1500"/>
  </r>
  <r>
    <n v="686"/>
    <d v="2023-07-19T00:00:00"/>
    <x v="0"/>
    <x v="6"/>
    <x v="544"/>
    <s v="Female"/>
    <n v="28"/>
    <x v="2"/>
    <x v="1"/>
    <n v="50"/>
    <n v="200"/>
  </r>
  <r>
    <n v="698"/>
    <d v="2023-07-19T00:00:00"/>
    <x v="0"/>
    <x v="6"/>
    <x v="545"/>
    <s v="Female"/>
    <n v="64"/>
    <x v="2"/>
    <x v="2"/>
    <n v="300"/>
    <n v="300"/>
  </r>
  <r>
    <n v="709"/>
    <d v="2023-07-21T00:00:00"/>
    <x v="0"/>
    <x v="6"/>
    <x v="546"/>
    <s v="Female"/>
    <n v="19"/>
    <x v="2"/>
    <x v="3"/>
    <n v="500"/>
    <n v="1000"/>
  </r>
  <r>
    <n v="114"/>
    <d v="2023-07-22T00:00:00"/>
    <x v="0"/>
    <x v="6"/>
    <x v="547"/>
    <s v="Female"/>
    <n v="22"/>
    <x v="1"/>
    <x v="1"/>
    <n v="25"/>
    <n v="100"/>
  </r>
  <r>
    <n v="359"/>
    <d v="2023-07-22T00:00:00"/>
    <x v="0"/>
    <x v="6"/>
    <x v="548"/>
    <s v="Male"/>
    <n v="50"/>
    <x v="0"/>
    <x v="2"/>
    <n v="50"/>
    <n v="50"/>
  </r>
  <r>
    <n v="773"/>
    <d v="2023-07-23T00:00:00"/>
    <x v="0"/>
    <x v="6"/>
    <x v="549"/>
    <s v="Male"/>
    <n v="25"/>
    <x v="2"/>
    <x v="1"/>
    <n v="500"/>
    <n v="2000"/>
  </r>
  <r>
    <n v="127"/>
    <d v="2023-07-24T00:00:00"/>
    <x v="0"/>
    <x v="6"/>
    <x v="550"/>
    <s v="Female"/>
    <n v="33"/>
    <x v="0"/>
    <x v="3"/>
    <n v="25"/>
    <n v="50"/>
  </r>
  <r>
    <n v="213"/>
    <d v="2023-07-24T00:00:00"/>
    <x v="0"/>
    <x v="6"/>
    <x v="551"/>
    <s v="Male"/>
    <n v="27"/>
    <x v="1"/>
    <x v="0"/>
    <n v="500"/>
    <n v="1500"/>
  </r>
  <r>
    <n v="487"/>
    <d v="2023-07-24T00:00:00"/>
    <x v="0"/>
    <x v="6"/>
    <x v="552"/>
    <s v="Male"/>
    <n v="44"/>
    <x v="0"/>
    <x v="1"/>
    <n v="500"/>
    <n v="2000"/>
  </r>
  <r>
    <n v="495"/>
    <d v="2023-07-24T00:00:00"/>
    <x v="0"/>
    <x v="6"/>
    <x v="553"/>
    <s v="Male"/>
    <n v="24"/>
    <x v="1"/>
    <x v="3"/>
    <n v="30"/>
    <n v="60"/>
  </r>
  <r>
    <n v="605"/>
    <d v="2023-07-24T00:00:00"/>
    <x v="0"/>
    <x v="6"/>
    <x v="554"/>
    <s v="Male"/>
    <n v="37"/>
    <x v="2"/>
    <x v="3"/>
    <n v="500"/>
    <n v="1000"/>
  </r>
  <r>
    <n v="105"/>
    <d v="2023-07-25T00:00:00"/>
    <x v="0"/>
    <x v="6"/>
    <x v="555"/>
    <s v="Female"/>
    <n v="22"/>
    <x v="2"/>
    <x v="2"/>
    <n v="500"/>
    <n v="500"/>
  </r>
  <r>
    <n v="299"/>
    <d v="2023-07-25T00:00:00"/>
    <x v="0"/>
    <x v="6"/>
    <x v="556"/>
    <s v="Male"/>
    <n v="61"/>
    <x v="2"/>
    <x v="3"/>
    <n v="500"/>
    <n v="1000"/>
  </r>
  <r>
    <n v="934"/>
    <d v="2023-07-25T00:00:00"/>
    <x v="0"/>
    <x v="6"/>
    <x v="557"/>
    <s v="Male"/>
    <n v="30"/>
    <x v="1"/>
    <x v="2"/>
    <n v="500"/>
    <n v="500"/>
  </r>
  <r>
    <n v="270"/>
    <d v="2023-07-26T00:00:00"/>
    <x v="0"/>
    <x v="6"/>
    <x v="558"/>
    <s v="Male"/>
    <n v="43"/>
    <x v="2"/>
    <x v="2"/>
    <n v="300"/>
    <n v="300"/>
  </r>
  <r>
    <n v="338"/>
    <d v="2023-07-26T00:00:00"/>
    <x v="0"/>
    <x v="6"/>
    <x v="559"/>
    <s v="Male"/>
    <n v="54"/>
    <x v="1"/>
    <x v="3"/>
    <n v="50"/>
    <n v="100"/>
  </r>
  <r>
    <n v="543"/>
    <d v="2023-07-26T00:00:00"/>
    <x v="0"/>
    <x v="6"/>
    <x v="560"/>
    <s v="Male"/>
    <n v="49"/>
    <x v="1"/>
    <x v="3"/>
    <n v="300"/>
    <n v="600"/>
  </r>
  <r>
    <n v="557"/>
    <d v="2023-07-27T00:00:00"/>
    <x v="0"/>
    <x v="6"/>
    <x v="561"/>
    <s v="Female"/>
    <n v="20"/>
    <x v="1"/>
    <x v="0"/>
    <n v="30"/>
    <n v="90"/>
  </r>
  <r>
    <n v="702"/>
    <d v="2023-07-27T00:00:00"/>
    <x v="0"/>
    <x v="6"/>
    <x v="562"/>
    <s v="Female"/>
    <n v="60"/>
    <x v="0"/>
    <x v="3"/>
    <n v="300"/>
    <n v="600"/>
  </r>
  <r>
    <n v="864"/>
    <d v="2023-07-27T00:00:00"/>
    <x v="0"/>
    <x v="6"/>
    <x v="563"/>
    <s v="Female"/>
    <n v="51"/>
    <x v="2"/>
    <x v="2"/>
    <n v="500"/>
    <n v="500"/>
  </r>
  <r>
    <n v="254"/>
    <d v="2023-07-28T00:00:00"/>
    <x v="0"/>
    <x v="6"/>
    <x v="564"/>
    <s v="Male"/>
    <n v="41"/>
    <x v="2"/>
    <x v="2"/>
    <n v="500"/>
    <n v="500"/>
  </r>
  <r>
    <n v="295"/>
    <d v="2023-07-28T00:00:00"/>
    <x v="0"/>
    <x v="6"/>
    <x v="565"/>
    <s v="Female"/>
    <n v="27"/>
    <x v="1"/>
    <x v="0"/>
    <n v="300"/>
    <n v="900"/>
  </r>
  <r>
    <n v="457"/>
    <d v="2023-07-28T00:00:00"/>
    <x v="0"/>
    <x v="6"/>
    <x v="566"/>
    <s v="Female"/>
    <n v="58"/>
    <x v="1"/>
    <x v="0"/>
    <n v="300"/>
    <n v="900"/>
  </r>
  <r>
    <n v="668"/>
    <d v="2023-07-28T00:00:00"/>
    <x v="0"/>
    <x v="6"/>
    <x v="567"/>
    <s v="Female"/>
    <n v="62"/>
    <x v="2"/>
    <x v="0"/>
    <n v="50"/>
    <n v="150"/>
  </r>
  <r>
    <n v="850"/>
    <d v="2023-07-28T00:00:00"/>
    <x v="0"/>
    <x v="6"/>
    <x v="568"/>
    <s v="Female"/>
    <n v="26"/>
    <x v="1"/>
    <x v="3"/>
    <n v="500"/>
    <n v="1000"/>
  </r>
  <r>
    <n v="541"/>
    <d v="2023-07-29T00:00:00"/>
    <x v="0"/>
    <x v="6"/>
    <x v="569"/>
    <s v="Male"/>
    <n v="56"/>
    <x v="1"/>
    <x v="2"/>
    <n v="500"/>
    <n v="500"/>
  </r>
  <r>
    <n v="980"/>
    <d v="2023-07-29T00:00:00"/>
    <x v="0"/>
    <x v="6"/>
    <x v="570"/>
    <s v="Female"/>
    <n v="31"/>
    <x v="2"/>
    <x v="0"/>
    <n v="25"/>
    <n v="75"/>
  </r>
  <r>
    <n v="262"/>
    <d v="2023-07-30T00:00:00"/>
    <x v="0"/>
    <x v="6"/>
    <x v="571"/>
    <s v="Female"/>
    <n v="32"/>
    <x v="1"/>
    <x v="1"/>
    <n v="30"/>
    <n v="120"/>
  </r>
  <r>
    <n v="467"/>
    <d v="2023-07-30T00:00:00"/>
    <x v="0"/>
    <x v="6"/>
    <x v="572"/>
    <s v="Female"/>
    <n v="53"/>
    <x v="2"/>
    <x v="0"/>
    <n v="50"/>
    <n v="150"/>
  </r>
  <r>
    <n v="463"/>
    <d v="2023-07-31T00:00:00"/>
    <x v="0"/>
    <x v="6"/>
    <x v="573"/>
    <s v="Female"/>
    <n v="54"/>
    <x v="1"/>
    <x v="0"/>
    <n v="500"/>
    <n v="1500"/>
  </r>
  <r>
    <n v="598"/>
    <d v="2023-08-01T00:00:00"/>
    <x v="0"/>
    <x v="7"/>
    <x v="574"/>
    <s v="Male"/>
    <n v="37"/>
    <x v="1"/>
    <x v="1"/>
    <n v="30"/>
    <n v="120"/>
  </r>
  <r>
    <n v="667"/>
    <d v="2023-08-01T00:00:00"/>
    <x v="0"/>
    <x v="7"/>
    <x v="575"/>
    <s v="Female"/>
    <n v="29"/>
    <x v="2"/>
    <x v="2"/>
    <n v="500"/>
    <n v="500"/>
  </r>
  <r>
    <n v="672"/>
    <d v="2023-08-01T00:00:00"/>
    <x v="0"/>
    <x v="7"/>
    <x v="576"/>
    <s v="Female"/>
    <n v="34"/>
    <x v="1"/>
    <x v="3"/>
    <n v="50"/>
    <n v="100"/>
  </r>
  <r>
    <n v="949"/>
    <d v="2023-08-02T00:00:00"/>
    <x v="0"/>
    <x v="7"/>
    <x v="577"/>
    <s v="Female"/>
    <n v="41"/>
    <x v="2"/>
    <x v="3"/>
    <n v="25"/>
    <n v="50"/>
  </r>
  <r>
    <n v="27"/>
    <d v="2023-08-03T00:00:00"/>
    <x v="0"/>
    <x v="7"/>
    <x v="578"/>
    <s v="Female"/>
    <n v="38"/>
    <x v="1"/>
    <x v="3"/>
    <n v="25"/>
    <n v="50"/>
  </r>
  <r>
    <n v="347"/>
    <d v="2023-08-03T00:00:00"/>
    <x v="0"/>
    <x v="7"/>
    <x v="579"/>
    <s v="Male"/>
    <n v="42"/>
    <x v="2"/>
    <x v="2"/>
    <n v="25"/>
    <n v="25"/>
  </r>
  <r>
    <n v="687"/>
    <d v="2023-08-03T00:00:00"/>
    <x v="0"/>
    <x v="7"/>
    <x v="580"/>
    <s v="Female"/>
    <n v="53"/>
    <x v="2"/>
    <x v="2"/>
    <n v="300"/>
    <n v="300"/>
  </r>
  <r>
    <n v="549"/>
    <d v="2023-08-04T00:00:00"/>
    <x v="0"/>
    <x v="7"/>
    <x v="581"/>
    <s v="Female"/>
    <n v="50"/>
    <x v="1"/>
    <x v="3"/>
    <n v="50"/>
    <n v="100"/>
  </r>
  <r>
    <n v="675"/>
    <d v="2023-08-04T00:00:00"/>
    <x v="0"/>
    <x v="7"/>
    <x v="582"/>
    <s v="Female"/>
    <n v="45"/>
    <x v="0"/>
    <x v="3"/>
    <n v="30"/>
    <n v="60"/>
  </r>
  <r>
    <n v="730"/>
    <d v="2023-08-04T00:00:00"/>
    <x v="0"/>
    <x v="7"/>
    <x v="583"/>
    <s v="Female"/>
    <n v="36"/>
    <x v="0"/>
    <x v="3"/>
    <n v="25"/>
    <n v="50"/>
  </r>
  <r>
    <n v="798"/>
    <d v="2023-08-04T00:00:00"/>
    <x v="0"/>
    <x v="7"/>
    <x v="584"/>
    <s v="Male"/>
    <n v="61"/>
    <x v="0"/>
    <x v="2"/>
    <n v="50"/>
    <n v="50"/>
  </r>
  <r>
    <n v="13"/>
    <d v="2023-08-05T00:00:00"/>
    <x v="0"/>
    <x v="7"/>
    <x v="585"/>
    <s v="Male"/>
    <n v="22"/>
    <x v="2"/>
    <x v="0"/>
    <n v="500"/>
    <n v="1500"/>
  </r>
  <r>
    <n v="35"/>
    <d v="2023-08-05T00:00:00"/>
    <x v="0"/>
    <x v="7"/>
    <x v="586"/>
    <s v="Female"/>
    <n v="58"/>
    <x v="1"/>
    <x v="0"/>
    <n v="300"/>
    <n v="900"/>
  </r>
  <r>
    <n v="140"/>
    <d v="2023-08-05T00:00:00"/>
    <x v="0"/>
    <x v="7"/>
    <x v="587"/>
    <s v="Male"/>
    <n v="38"/>
    <x v="2"/>
    <x v="2"/>
    <n v="30"/>
    <n v="30"/>
  </r>
  <r>
    <n v="206"/>
    <d v="2023-08-05T00:00:00"/>
    <x v="0"/>
    <x v="7"/>
    <x v="588"/>
    <s v="Male"/>
    <n v="61"/>
    <x v="0"/>
    <x v="2"/>
    <n v="25"/>
    <n v="25"/>
  </r>
  <r>
    <n v="261"/>
    <d v="2023-08-05T00:00:00"/>
    <x v="0"/>
    <x v="7"/>
    <x v="589"/>
    <s v="Male"/>
    <n v="21"/>
    <x v="0"/>
    <x v="3"/>
    <n v="25"/>
    <n v="50"/>
  </r>
  <r>
    <n v="279"/>
    <d v="2023-08-05T00:00:00"/>
    <x v="0"/>
    <x v="7"/>
    <x v="590"/>
    <s v="Male"/>
    <n v="50"/>
    <x v="0"/>
    <x v="2"/>
    <n v="500"/>
    <n v="500"/>
  </r>
  <r>
    <n v="308"/>
    <d v="2023-08-05T00:00:00"/>
    <x v="0"/>
    <x v="7"/>
    <x v="591"/>
    <s v="Female"/>
    <n v="34"/>
    <x v="1"/>
    <x v="1"/>
    <n v="300"/>
    <n v="1200"/>
  </r>
  <r>
    <n v="418"/>
    <d v="2023-08-05T00:00:00"/>
    <x v="0"/>
    <x v="7"/>
    <x v="592"/>
    <s v="Female"/>
    <n v="60"/>
    <x v="2"/>
    <x v="3"/>
    <n v="500"/>
    <n v="1000"/>
  </r>
  <r>
    <n v="612"/>
    <d v="2023-08-06T00:00:00"/>
    <x v="0"/>
    <x v="7"/>
    <x v="593"/>
    <s v="Female"/>
    <n v="61"/>
    <x v="2"/>
    <x v="2"/>
    <n v="500"/>
    <n v="500"/>
  </r>
  <r>
    <n v="875"/>
    <d v="2023-08-06T00:00:00"/>
    <x v="0"/>
    <x v="7"/>
    <x v="594"/>
    <s v="Female"/>
    <n v="51"/>
    <x v="2"/>
    <x v="1"/>
    <n v="500"/>
    <n v="2000"/>
  </r>
  <r>
    <n v="430"/>
    <d v="2023-08-07T00:00:00"/>
    <x v="0"/>
    <x v="7"/>
    <x v="595"/>
    <s v="Female"/>
    <n v="43"/>
    <x v="2"/>
    <x v="0"/>
    <n v="300"/>
    <n v="900"/>
  </r>
  <r>
    <n v="633"/>
    <d v="2023-08-07T00:00:00"/>
    <x v="0"/>
    <x v="7"/>
    <x v="596"/>
    <s v="Male"/>
    <n v="39"/>
    <x v="1"/>
    <x v="1"/>
    <n v="30"/>
    <n v="120"/>
  </r>
  <r>
    <n v="125"/>
    <d v="2023-08-08T00:00:00"/>
    <x v="0"/>
    <x v="7"/>
    <x v="597"/>
    <s v="Male"/>
    <n v="48"/>
    <x v="0"/>
    <x v="3"/>
    <n v="50"/>
    <n v="100"/>
  </r>
  <r>
    <n v="716"/>
    <d v="2023-08-08T00:00:00"/>
    <x v="0"/>
    <x v="7"/>
    <x v="598"/>
    <s v="Female"/>
    <n v="60"/>
    <x v="0"/>
    <x v="1"/>
    <n v="300"/>
    <n v="1200"/>
  </r>
  <r>
    <n v="790"/>
    <d v="2023-08-08T00:00:00"/>
    <x v="0"/>
    <x v="7"/>
    <x v="599"/>
    <s v="Male"/>
    <n v="62"/>
    <x v="0"/>
    <x v="2"/>
    <n v="25"/>
    <n v="25"/>
  </r>
  <r>
    <n v="960"/>
    <d v="2023-08-08T00:00:00"/>
    <x v="0"/>
    <x v="7"/>
    <x v="600"/>
    <s v="Male"/>
    <n v="59"/>
    <x v="0"/>
    <x v="3"/>
    <n v="30"/>
    <n v="60"/>
  </r>
  <r>
    <n v="259"/>
    <d v="2023-08-09T00:00:00"/>
    <x v="0"/>
    <x v="7"/>
    <x v="601"/>
    <s v="Female"/>
    <n v="45"/>
    <x v="0"/>
    <x v="1"/>
    <n v="50"/>
    <n v="200"/>
  </r>
  <r>
    <n v="443"/>
    <d v="2023-08-09T00:00:00"/>
    <x v="0"/>
    <x v="7"/>
    <x v="602"/>
    <s v="Male"/>
    <n v="29"/>
    <x v="0"/>
    <x v="3"/>
    <n v="300"/>
    <n v="600"/>
  </r>
  <r>
    <n v="529"/>
    <d v="2023-08-09T00:00:00"/>
    <x v="0"/>
    <x v="7"/>
    <x v="603"/>
    <s v="Female"/>
    <n v="35"/>
    <x v="0"/>
    <x v="0"/>
    <n v="50"/>
    <n v="150"/>
  </r>
  <r>
    <n v="563"/>
    <d v="2023-08-09T00:00:00"/>
    <x v="0"/>
    <x v="7"/>
    <x v="604"/>
    <s v="Male"/>
    <n v="20"/>
    <x v="0"/>
    <x v="3"/>
    <n v="30"/>
    <n v="60"/>
  </r>
  <r>
    <n v="801"/>
    <d v="2023-08-10T00:00:00"/>
    <x v="0"/>
    <x v="7"/>
    <x v="605"/>
    <s v="Male"/>
    <n v="21"/>
    <x v="0"/>
    <x v="1"/>
    <n v="50"/>
    <n v="200"/>
  </r>
  <r>
    <n v="160"/>
    <d v="2023-08-11T00:00:00"/>
    <x v="0"/>
    <x v="7"/>
    <x v="606"/>
    <s v="Female"/>
    <n v="43"/>
    <x v="0"/>
    <x v="3"/>
    <n v="50"/>
    <n v="100"/>
  </r>
  <r>
    <n v="508"/>
    <d v="2023-08-11T00:00:00"/>
    <x v="0"/>
    <x v="7"/>
    <x v="607"/>
    <s v="Male"/>
    <n v="58"/>
    <x v="1"/>
    <x v="3"/>
    <n v="300"/>
    <n v="600"/>
  </r>
  <r>
    <n v="807"/>
    <d v="2023-08-11T00:00:00"/>
    <x v="0"/>
    <x v="7"/>
    <x v="608"/>
    <s v="Female"/>
    <n v="50"/>
    <x v="2"/>
    <x v="1"/>
    <n v="50"/>
    <n v="200"/>
  </r>
  <r>
    <n v="511"/>
    <d v="2023-08-12T00:00:00"/>
    <x v="0"/>
    <x v="7"/>
    <x v="609"/>
    <s v="Male"/>
    <n v="45"/>
    <x v="1"/>
    <x v="3"/>
    <n v="50"/>
    <n v="100"/>
  </r>
  <r>
    <n v="521"/>
    <d v="2023-08-12T00:00:00"/>
    <x v="0"/>
    <x v="7"/>
    <x v="610"/>
    <s v="Female"/>
    <n v="47"/>
    <x v="0"/>
    <x v="1"/>
    <n v="30"/>
    <n v="120"/>
  </r>
  <r>
    <n v="695"/>
    <d v="2023-08-12T00:00:00"/>
    <x v="0"/>
    <x v="7"/>
    <x v="611"/>
    <s v="Female"/>
    <n v="22"/>
    <x v="2"/>
    <x v="0"/>
    <n v="50"/>
    <n v="150"/>
  </r>
  <r>
    <n v="816"/>
    <d v="2023-08-12T00:00:00"/>
    <x v="0"/>
    <x v="7"/>
    <x v="612"/>
    <s v="Male"/>
    <n v="47"/>
    <x v="1"/>
    <x v="3"/>
    <n v="500"/>
    <n v="1000"/>
  </r>
  <r>
    <n v="217"/>
    <d v="2023-08-13T00:00:00"/>
    <x v="0"/>
    <x v="7"/>
    <x v="613"/>
    <s v="Female"/>
    <n v="35"/>
    <x v="2"/>
    <x v="1"/>
    <n v="50"/>
    <n v="200"/>
  </r>
  <r>
    <n v="384"/>
    <d v="2023-08-13T00:00:00"/>
    <x v="0"/>
    <x v="7"/>
    <x v="614"/>
    <s v="Male"/>
    <n v="55"/>
    <x v="0"/>
    <x v="2"/>
    <n v="500"/>
    <n v="500"/>
  </r>
  <r>
    <n v="648"/>
    <d v="2023-08-14T00:00:00"/>
    <x v="0"/>
    <x v="7"/>
    <x v="615"/>
    <s v="Male"/>
    <n v="53"/>
    <x v="1"/>
    <x v="1"/>
    <n v="300"/>
    <n v="1200"/>
  </r>
  <r>
    <n v="926"/>
    <d v="2023-08-14T00:00:00"/>
    <x v="0"/>
    <x v="7"/>
    <x v="616"/>
    <s v="Male"/>
    <n v="22"/>
    <x v="2"/>
    <x v="2"/>
    <n v="30"/>
    <n v="30"/>
  </r>
  <r>
    <n v="285"/>
    <d v="2023-08-15T00:00:00"/>
    <x v="0"/>
    <x v="7"/>
    <x v="617"/>
    <s v="Female"/>
    <n v="31"/>
    <x v="2"/>
    <x v="2"/>
    <n v="25"/>
    <n v="25"/>
  </r>
  <r>
    <n v="427"/>
    <d v="2023-08-15T00:00:00"/>
    <x v="0"/>
    <x v="7"/>
    <x v="618"/>
    <s v="Male"/>
    <n v="25"/>
    <x v="2"/>
    <x v="2"/>
    <n v="25"/>
    <n v="25"/>
  </r>
  <r>
    <n v="569"/>
    <d v="2023-08-15T00:00:00"/>
    <x v="0"/>
    <x v="7"/>
    <x v="619"/>
    <s v="Male"/>
    <n v="52"/>
    <x v="2"/>
    <x v="1"/>
    <n v="50"/>
    <n v="200"/>
  </r>
  <r>
    <n v="570"/>
    <d v="2023-08-15T00:00:00"/>
    <x v="0"/>
    <x v="7"/>
    <x v="620"/>
    <s v="Male"/>
    <n v="49"/>
    <x v="0"/>
    <x v="2"/>
    <n v="500"/>
    <n v="500"/>
  </r>
  <r>
    <n v="630"/>
    <d v="2023-08-15T00:00:00"/>
    <x v="0"/>
    <x v="7"/>
    <x v="621"/>
    <s v="Male"/>
    <n v="42"/>
    <x v="0"/>
    <x v="3"/>
    <n v="50"/>
    <n v="100"/>
  </r>
  <r>
    <n v="957"/>
    <d v="2023-08-15T00:00:00"/>
    <x v="0"/>
    <x v="7"/>
    <x v="622"/>
    <s v="Female"/>
    <n v="60"/>
    <x v="2"/>
    <x v="1"/>
    <n v="30"/>
    <n v="120"/>
  </r>
  <r>
    <n v="635"/>
    <d v="2023-08-17T00:00:00"/>
    <x v="0"/>
    <x v="7"/>
    <x v="623"/>
    <s v="Female"/>
    <n v="63"/>
    <x v="2"/>
    <x v="0"/>
    <n v="300"/>
    <n v="900"/>
  </r>
  <r>
    <n v="29"/>
    <d v="2023-08-18T00:00:00"/>
    <x v="0"/>
    <x v="7"/>
    <x v="624"/>
    <s v="Female"/>
    <n v="42"/>
    <x v="2"/>
    <x v="2"/>
    <n v="30"/>
    <n v="30"/>
  </r>
  <r>
    <n v="277"/>
    <d v="2023-08-18T00:00:00"/>
    <x v="0"/>
    <x v="7"/>
    <x v="625"/>
    <s v="Male"/>
    <n v="36"/>
    <x v="0"/>
    <x v="1"/>
    <n v="25"/>
    <n v="100"/>
  </r>
  <r>
    <n v="859"/>
    <d v="2023-08-18T00:00:00"/>
    <x v="0"/>
    <x v="7"/>
    <x v="626"/>
    <s v="Female"/>
    <n v="56"/>
    <x v="2"/>
    <x v="0"/>
    <n v="500"/>
    <n v="1500"/>
  </r>
  <r>
    <n v="638"/>
    <d v="2023-08-19T00:00:00"/>
    <x v="0"/>
    <x v="7"/>
    <x v="627"/>
    <s v="Male"/>
    <n v="46"/>
    <x v="2"/>
    <x v="2"/>
    <n v="500"/>
    <n v="500"/>
  </r>
  <r>
    <n v="823"/>
    <d v="2023-08-19T00:00:00"/>
    <x v="0"/>
    <x v="7"/>
    <x v="628"/>
    <s v="Female"/>
    <n v="56"/>
    <x v="2"/>
    <x v="3"/>
    <n v="50"/>
    <n v="100"/>
  </r>
  <r>
    <n v="956"/>
    <d v="2023-08-19T00:00:00"/>
    <x v="0"/>
    <x v="7"/>
    <x v="629"/>
    <s v="Male"/>
    <n v="30"/>
    <x v="0"/>
    <x v="0"/>
    <n v="500"/>
    <n v="1500"/>
  </r>
  <r>
    <n v="981"/>
    <d v="2023-08-19T00:00:00"/>
    <x v="0"/>
    <x v="7"/>
    <x v="630"/>
    <s v="Female"/>
    <n v="30"/>
    <x v="2"/>
    <x v="3"/>
    <n v="30"/>
    <n v="60"/>
  </r>
  <r>
    <n v="219"/>
    <d v="2023-08-20T00:00:00"/>
    <x v="0"/>
    <x v="7"/>
    <x v="631"/>
    <s v="Female"/>
    <n v="53"/>
    <x v="2"/>
    <x v="0"/>
    <n v="30"/>
    <n v="90"/>
  </r>
  <r>
    <n v="73"/>
    <d v="2023-08-21T00:00:00"/>
    <x v="0"/>
    <x v="7"/>
    <x v="632"/>
    <s v="Male"/>
    <n v="29"/>
    <x v="2"/>
    <x v="0"/>
    <n v="30"/>
    <n v="90"/>
  </r>
  <r>
    <n v="162"/>
    <d v="2023-08-21T00:00:00"/>
    <x v="0"/>
    <x v="7"/>
    <x v="633"/>
    <s v="Male"/>
    <n v="39"/>
    <x v="0"/>
    <x v="3"/>
    <n v="30"/>
    <n v="60"/>
  </r>
  <r>
    <n v="306"/>
    <d v="2023-08-21T00:00:00"/>
    <x v="0"/>
    <x v="7"/>
    <x v="634"/>
    <s v="Male"/>
    <n v="54"/>
    <x v="2"/>
    <x v="2"/>
    <n v="50"/>
    <n v="50"/>
  </r>
  <r>
    <n v="725"/>
    <d v="2023-08-21T00:00:00"/>
    <x v="0"/>
    <x v="7"/>
    <x v="635"/>
    <s v="Male"/>
    <n v="61"/>
    <x v="2"/>
    <x v="2"/>
    <n v="300"/>
    <n v="300"/>
  </r>
  <r>
    <n v="880"/>
    <d v="2023-08-21T00:00:00"/>
    <x v="0"/>
    <x v="7"/>
    <x v="636"/>
    <s v="Male"/>
    <n v="22"/>
    <x v="1"/>
    <x v="3"/>
    <n v="500"/>
    <n v="1000"/>
  </r>
  <r>
    <n v="992"/>
    <d v="2023-08-21T00:00:00"/>
    <x v="0"/>
    <x v="7"/>
    <x v="637"/>
    <s v="Female"/>
    <n v="57"/>
    <x v="2"/>
    <x v="3"/>
    <n v="30"/>
    <n v="60"/>
  </r>
  <r>
    <n v="597"/>
    <d v="2023-08-22T00:00:00"/>
    <x v="0"/>
    <x v="7"/>
    <x v="638"/>
    <s v="Male"/>
    <n v="22"/>
    <x v="1"/>
    <x v="1"/>
    <n v="300"/>
    <n v="1200"/>
  </r>
  <r>
    <n v="622"/>
    <d v="2023-08-22T00:00:00"/>
    <x v="0"/>
    <x v="7"/>
    <x v="639"/>
    <s v="Female"/>
    <n v="49"/>
    <x v="1"/>
    <x v="0"/>
    <n v="25"/>
    <n v="75"/>
  </r>
  <r>
    <n v="116"/>
    <d v="2023-08-23T00:00:00"/>
    <x v="0"/>
    <x v="7"/>
    <x v="640"/>
    <s v="Female"/>
    <n v="23"/>
    <x v="0"/>
    <x v="2"/>
    <n v="30"/>
    <n v="30"/>
  </r>
  <r>
    <n v="364"/>
    <d v="2023-08-23T00:00:00"/>
    <x v="0"/>
    <x v="7"/>
    <x v="641"/>
    <s v="Female"/>
    <n v="19"/>
    <x v="1"/>
    <x v="2"/>
    <n v="500"/>
    <n v="500"/>
  </r>
  <r>
    <n v="368"/>
    <d v="2023-08-23T00:00:00"/>
    <x v="0"/>
    <x v="7"/>
    <x v="642"/>
    <s v="Female"/>
    <n v="56"/>
    <x v="0"/>
    <x v="1"/>
    <n v="300"/>
    <n v="1200"/>
  </r>
  <r>
    <n v="50"/>
    <d v="2023-08-24T00:00:00"/>
    <x v="0"/>
    <x v="7"/>
    <x v="643"/>
    <s v="Female"/>
    <n v="27"/>
    <x v="1"/>
    <x v="0"/>
    <n v="25"/>
    <n v="75"/>
  </r>
  <r>
    <n v="479"/>
    <d v="2023-08-24T00:00:00"/>
    <x v="0"/>
    <x v="7"/>
    <x v="644"/>
    <s v="Male"/>
    <n v="52"/>
    <x v="2"/>
    <x v="1"/>
    <n v="300"/>
    <n v="1200"/>
  </r>
  <r>
    <n v="804"/>
    <d v="2023-08-24T00:00:00"/>
    <x v="0"/>
    <x v="7"/>
    <x v="645"/>
    <s v="Male"/>
    <n v="42"/>
    <x v="2"/>
    <x v="2"/>
    <n v="30"/>
    <n v="30"/>
  </r>
  <r>
    <n v="92"/>
    <d v="2023-08-25T00:00:00"/>
    <x v="0"/>
    <x v="7"/>
    <x v="646"/>
    <s v="Female"/>
    <n v="51"/>
    <x v="2"/>
    <x v="1"/>
    <n v="30"/>
    <n v="120"/>
  </r>
  <r>
    <n v="282"/>
    <d v="2023-08-25T00:00:00"/>
    <x v="0"/>
    <x v="7"/>
    <x v="647"/>
    <s v="Female"/>
    <n v="64"/>
    <x v="2"/>
    <x v="1"/>
    <n v="50"/>
    <n v="200"/>
  </r>
  <r>
    <n v="718"/>
    <d v="2023-08-25T00:00:00"/>
    <x v="0"/>
    <x v="7"/>
    <x v="648"/>
    <s v="Female"/>
    <n v="59"/>
    <x v="1"/>
    <x v="0"/>
    <n v="25"/>
    <n v="75"/>
  </r>
  <r>
    <n v="617"/>
    <d v="2023-08-26T00:00:00"/>
    <x v="0"/>
    <x v="7"/>
    <x v="649"/>
    <s v="Male"/>
    <n v="34"/>
    <x v="2"/>
    <x v="2"/>
    <n v="30"/>
    <n v="30"/>
  </r>
  <r>
    <n v="624"/>
    <d v="2023-08-26T00:00:00"/>
    <x v="0"/>
    <x v="7"/>
    <x v="650"/>
    <s v="Female"/>
    <n v="34"/>
    <x v="1"/>
    <x v="0"/>
    <n v="300"/>
    <n v="900"/>
  </r>
  <r>
    <n v="825"/>
    <d v="2023-08-26T00:00:00"/>
    <x v="0"/>
    <x v="7"/>
    <x v="651"/>
    <s v="Female"/>
    <n v="46"/>
    <x v="1"/>
    <x v="2"/>
    <n v="25"/>
    <n v="25"/>
  </r>
  <r>
    <n v="568"/>
    <d v="2023-08-27T00:00:00"/>
    <x v="0"/>
    <x v="7"/>
    <x v="652"/>
    <s v="Female"/>
    <n v="51"/>
    <x v="2"/>
    <x v="2"/>
    <n v="300"/>
    <n v="300"/>
  </r>
  <r>
    <n v="671"/>
    <d v="2023-08-27T00:00:00"/>
    <x v="0"/>
    <x v="7"/>
    <x v="653"/>
    <s v="Male"/>
    <n v="62"/>
    <x v="2"/>
    <x v="0"/>
    <n v="50"/>
    <n v="150"/>
  </r>
  <r>
    <n v="756"/>
    <d v="2023-08-27T00:00:00"/>
    <x v="0"/>
    <x v="7"/>
    <x v="654"/>
    <s v="Female"/>
    <n v="62"/>
    <x v="2"/>
    <x v="1"/>
    <n v="300"/>
    <n v="1200"/>
  </r>
  <r>
    <n v="815"/>
    <d v="2023-08-27T00:00:00"/>
    <x v="0"/>
    <x v="7"/>
    <x v="655"/>
    <s v="Female"/>
    <n v="51"/>
    <x v="0"/>
    <x v="0"/>
    <n v="25"/>
    <n v="75"/>
  </r>
  <r>
    <n v="146"/>
    <d v="2023-08-28T00:00:00"/>
    <x v="0"/>
    <x v="7"/>
    <x v="656"/>
    <s v="Male"/>
    <n v="38"/>
    <x v="0"/>
    <x v="1"/>
    <n v="50"/>
    <n v="200"/>
  </r>
  <r>
    <n v="263"/>
    <d v="2023-08-28T00:00:00"/>
    <x v="0"/>
    <x v="7"/>
    <x v="657"/>
    <s v="Male"/>
    <n v="23"/>
    <x v="1"/>
    <x v="3"/>
    <n v="30"/>
    <n v="60"/>
  </r>
  <r>
    <n v="704"/>
    <d v="2023-08-28T00:00:00"/>
    <x v="0"/>
    <x v="7"/>
    <x v="658"/>
    <s v="Female"/>
    <n v="62"/>
    <x v="0"/>
    <x v="0"/>
    <n v="30"/>
    <n v="90"/>
  </r>
  <r>
    <n v="476"/>
    <d v="2023-08-29T00:00:00"/>
    <x v="0"/>
    <x v="7"/>
    <x v="659"/>
    <s v="Female"/>
    <n v="27"/>
    <x v="0"/>
    <x v="1"/>
    <n v="500"/>
    <n v="2000"/>
  </r>
  <r>
    <n v="733"/>
    <d v="2023-08-29T00:00:00"/>
    <x v="0"/>
    <x v="7"/>
    <x v="660"/>
    <s v="Male"/>
    <n v="34"/>
    <x v="1"/>
    <x v="2"/>
    <n v="30"/>
    <n v="30"/>
  </r>
  <r>
    <n v="924"/>
    <d v="2023-08-29T00:00:00"/>
    <x v="0"/>
    <x v="7"/>
    <x v="661"/>
    <s v="Male"/>
    <n v="55"/>
    <x v="1"/>
    <x v="3"/>
    <n v="50"/>
    <n v="100"/>
  </r>
  <r>
    <n v="984"/>
    <d v="2023-08-29T00:00:00"/>
    <x v="0"/>
    <x v="7"/>
    <x v="662"/>
    <s v="Male"/>
    <n v="56"/>
    <x v="0"/>
    <x v="2"/>
    <n v="500"/>
    <n v="500"/>
  </r>
  <r>
    <n v="251"/>
    <d v="2023-08-31T00:00:00"/>
    <x v="0"/>
    <x v="7"/>
    <x v="663"/>
    <s v="Female"/>
    <n v="57"/>
    <x v="1"/>
    <x v="1"/>
    <n v="50"/>
    <n v="200"/>
  </r>
  <r>
    <n v="253"/>
    <d v="2023-08-31T00:00:00"/>
    <x v="0"/>
    <x v="7"/>
    <x v="664"/>
    <s v="Female"/>
    <n v="53"/>
    <x v="0"/>
    <x v="1"/>
    <n v="500"/>
    <n v="2000"/>
  </r>
  <r>
    <n v="574"/>
    <d v="2023-08-31T00:00:00"/>
    <x v="0"/>
    <x v="7"/>
    <x v="665"/>
    <s v="Female"/>
    <n v="63"/>
    <x v="2"/>
    <x v="3"/>
    <n v="25"/>
    <n v="50"/>
  </r>
  <r>
    <n v="751"/>
    <d v="2023-08-31T00:00:00"/>
    <x v="0"/>
    <x v="7"/>
    <x v="666"/>
    <s v="Female"/>
    <n v="42"/>
    <x v="0"/>
    <x v="3"/>
    <n v="25"/>
    <n v="50"/>
  </r>
  <r>
    <n v="871"/>
    <d v="2023-08-31T00:00:00"/>
    <x v="0"/>
    <x v="7"/>
    <x v="667"/>
    <s v="Male"/>
    <n v="62"/>
    <x v="1"/>
    <x v="3"/>
    <n v="30"/>
    <n v="60"/>
  </r>
  <r>
    <n v="200"/>
    <d v="2023-09-01T00:00:00"/>
    <x v="0"/>
    <x v="8"/>
    <x v="668"/>
    <s v="Male"/>
    <n v="27"/>
    <x v="1"/>
    <x v="0"/>
    <n v="50"/>
    <n v="150"/>
  </r>
  <r>
    <n v="594"/>
    <d v="2023-09-01T00:00:00"/>
    <x v="0"/>
    <x v="8"/>
    <x v="669"/>
    <s v="Female"/>
    <n v="19"/>
    <x v="2"/>
    <x v="3"/>
    <n v="300"/>
    <n v="600"/>
  </r>
  <r>
    <n v="637"/>
    <d v="2023-09-01T00:00:00"/>
    <x v="0"/>
    <x v="8"/>
    <x v="670"/>
    <s v="Male"/>
    <n v="43"/>
    <x v="0"/>
    <x v="3"/>
    <n v="300"/>
    <n v="600"/>
  </r>
  <r>
    <n v="855"/>
    <d v="2023-09-01T00:00:00"/>
    <x v="0"/>
    <x v="8"/>
    <x v="671"/>
    <s v="Male"/>
    <n v="54"/>
    <x v="1"/>
    <x v="2"/>
    <n v="25"/>
    <n v="25"/>
  </r>
  <r>
    <n v="325"/>
    <d v="2023-09-02T00:00:00"/>
    <x v="0"/>
    <x v="8"/>
    <x v="672"/>
    <s v="Female"/>
    <n v="52"/>
    <x v="2"/>
    <x v="3"/>
    <n v="25"/>
    <n v="50"/>
  </r>
  <r>
    <n v="682"/>
    <d v="2023-09-02T00:00:00"/>
    <x v="0"/>
    <x v="8"/>
    <x v="673"/>
    <s v="Male"/>
    <n v="46"/>
    <x v="1"/>
    <x v="1"/>
    <n v="300"/>
    <n v="1200"/>
  </r>
  <r>
    <n v="931"/>
    <d v="2023-09-02T00:00:00"/>
    <x v="0"/>
    <x v="8"/>
    <x v="674"/>
    <s v="Male"/>
    <n v="30"/>
    <x v="1"/>
    <x v="1"/>
    <n v="30"/>
    <n v="120"/>
  </r>
  <r>
    <n v="925"/>
    <d v="2023-09-03T00:00:00"/>
    <x v="0"/>
    <x v="8"/>
    <x v="675"/>
    <s v="Male"/>
    <n v="25"/>
    <x v="2"/>
    <x v="2"/>
    <n v="300"/>
    <n v="300"/>
  </r>
  <r>
    <n v="297"/>
    <d v="2023-09-04T00:00:00"/>
    <x v="0"/>
    <x v="8"/>
    <x v="676"/>
    <s v="Female"/>
    <n v="40"/>
    <x v="2"/>
    <x v="3"/>
    <n v="500"/>
    <n v="1000"/>
  </r>
  <r>
    <n v="814"/>
    <d v="2023-09-05T00:00:00"/>
    <x v="0"/>
    <x v="8"/>
    <x v="677"/>
    <s v="Female"/>
    <n v="59"/>
    <x v="0"/>
    <x v="2"/>
    <n v="500"/>
    <n v="500"/>
  </r>
  <r>
    <n v="894"/>
    <d v="2023-09-05T00:00:00"/>
    <x v="0"/>
    <x v="8"/>
    <x v="678"/>
    <s v="Male"/>
    <n v="52"/>
    <x v="2"/>
    <x v="2"/>
    <n v="30"/>
    <n v="30"/>
  </r>
  <r>
    <n v="194"/>
    <d v="2023-09-06T00:00:00"/>
    <x v="0"/>
    <x v="8"/>
    <x v="679"/>
    <s v="Male"/>
    <n v="55"/>
    <x v="0"/>
    <x v="1"/>
    <n v="50"/>
    <n v="200"/>
  </r>
  <r>
    <n v="245"/>
    <d v="2023-09-06T00:00:00"/>
    <x v="0"/>
    <x v="8"/>
    <x v="680"/>
    <s v="Male"/>
    <n v="47"/>
    <x v="0"/>
    <x v="0"/>
    <n v="30"/>
    <n v="90"/>
  </r>
  <r>
    <n v="296"/>
    <d v="2023-09-06T00:00:00"/>
    <x v="0"/>
    <x v="8"/>
    <x v="681"/>
    <s v="Female"/>
    <n v="22"/>
    <x v="0"/>
    <x v="1"/>
    <n v="300"/>
    <n v="1200"/>
  </r>
  <r>
    <n v="644"/>
    <d v="2023-09-06T00:00:00"/>
    <x v="0"/>
    <x v="8"/>
    <x v="682"/>
    <s v="Male"/>
    <n v="23"/>
    <x v="1"/>
    <x v="0"/>
    <n v="25"/>
    <n v="75"/>
  </r>
  <r>
    <n v="696"/>
    <d v="2023-09-06T00:00:00"/>
    <x v="0"/>
    <x v="8"/>
    <x v="683"/>
    <s v="Female"/>
    <n v="50"/>
    <x v="0"/>
    <x v="1"/>
    <n v="50"/>
    <n v="200"/>
  </r>
  <r>
    <n v="312"/>
    <d v="2023-09-07T00:00:00"/>
    <x v="0"/>
    <x v="8"/>
    <x v="684"/>
    <s v="Male"/>
    <n v="41"/>
    <x v="0"/>
    <x v="1"/>
    <n v="30"/>
    <n v="120"/>
  </r>
  <r>
    <n v="692"/>
    <d v="2023-09-07T00:00:00"/>
    <x v="0"/>
    <x v="8"/>
    <x v="685"/>
    <s v="Female"/>
    <n v="64"/>
    <x v="0"/>
    <x v="3"/>
    <n v="50"/>
    <n v="100"/>
  </r>
  <r>
    <n v="835"/>
    <d v="2023-09-07T00:00:00"/>
    <x v="0"/>
    <x v="8"/>
    <x v="686"/>
    <s v="Male"/>
    <n v="37"/>
    <x v="0"/>
    <x v="1"/>
    <n v="50"/>
    <n v="200"/>
  </r>
  <r>
    <n v="183"/>
    <d v="2023-09-08T00:00:00"/>
    <x v="0"/>
    <x v="8"/>
    <x v="687"/>
    <s v="Female"/>
    <n v="43"/>
    <x v="1"/>
    <x v="0"/>
    <n v="300"/>
    <n v="900"/>
  </r>
  <r>
    <n v="413"/>
    <d v="2023-09-08T00:00:00"/>
    <x v="0"/>
    <x v="8"/>
    <x v="688"/>
    <s v="Female"/>
    <n v="44"/>
    <x v="1"/>
    <x v="0"/>
    <n v="25"/>
    <n v="75"/>
  </r>
  <r>
    <n v="799"/>
    <d v="2023-09-08T00:00:00"/>
    <x v="0"/>
    <x v="8"/>
    <x v="689"/>
    <s v="Male"/>
    <n v="56"/>
    <x v="2"/>
    <x v="3"/>
    <n v="50"/>
    <n v="100"/>
  </r>
  <r>
    <n v="851"/>
    <d v="2023-09-08T00:00:00"/>
    <x v="0"/>
    <x v="8"/>
    <x v="690"/>
    <s v="Male"/>
    <n v="32"/>
    <x v="2"/>
    <x v="3"/>
    <n v="25"/>
    <n v="50"/>
  </r>
  <r>
    <n v="858"/>
    <d v="2023-09-09T00:00:00"/>
    <x v="0"/>
    <x v="8"/>
    <x v="691"/>
    <s v="Male"/>
    <n v="23"/>
    <x v="2"/>
    <x v="3"/>
    <n v="50"/>
    <n v="100"/>
  </r>
  <r>
    <n v="919"/>
    <d v="2023-09-09T00:00:00"/>
    <x v="0"/>
    <x v="8"/>
    <x v="692"/>
    <s v="Female"/>
    <n v="22"/>
    <x v="1"/>
    <x v="3"/>
    <n v="25"/>
    <n v="50"/>
  </r>
  <r>
    <n v="935"/>
    <d v="2023-09-09T00:00:00"/>
    <x v="0"/>
    <x v="8"/>
    <x v="693"/>
    <s v="Female"/>
    <n v="34"/>
    <x v="1"/>
    <x v="2"/>
    <n v="50"/>
    <n v="50"/>
  </r>
  <r>
    <n v="132"/>
    <d v="2023-09-10T00:00:00"/>
    <x v="0"/>
    <x v="8"/>
    <x v="694"/>
    <s v="Male"/>
    <n v="42"/>
    <x v="2"/>
    <x v="1"/>
    <n v="50"/>
    <n v="200"/>
  </r>
  <r>
    <n v="604"/>
    <d v="2023-09-11T00:00:00"/>
    <x v="0"/>
    <x v="8"/>
    <x v="695"/>
    <s v="Female"/>
    <n v="29"/>
    <x v="2"/>
    <x v="1"/>
    <n v="50"/>
    <n v="200"/>
  </r>
  <r>
    <n v="832"/>
    <d v="2023-09-11T00:00:00"/>
    <x v="0"/>
    <x v="8"/>
    <x v="696"/>
    <s v="Male"/>
    <n v="47"/>
    <x v="1"/>
    <x v="1"/>
    <n v="500"/>
    <n v="2000"/>
  </r>
  <r>
    <n v="113"/>
    <d v="2023-09-13T00:00:00"/>
    <x v="0"/>
    <x v="8"/>
    <x v="697"/>
    <s v="Female"/>
    <n v="41"/>
    <x v="2"/>
    <x v="3"/>
    <n v="25"/>
    <n v="50"/>
  </r>
  <r>
    <n v="165"/>
    <d v="2023-09-14T00:00:00"/>
    <x v="0"/>
    <x v="8"/>
    <x v="698"/>
    <s v="Female"/>
    <n v="60"/>
    <x v="0"/>
    <x v="1"/>
    <n v="300"/>
    <n v="1200"/>
  </r>
  <r>
    <n v="326"/>
    <d v="2023-09-15T00:00:00"/>
    <x v="0"/>
    <x v="8"/>
    <x v="699"/>
    <s v="Female"/>
    <n v="18"/>
    <x v="0"/>
    <x v="0"/>
    <n v="25"/>
    <n v="75"/>
  </r>
  <r>
    <n v="19"/>
    <d v="2023-09-16T00:00:00"/>
    <x v="0"/>
    <x v="8"/>
    <x v="700"/>
    <s v="Female"/>
    <n v="62"/>
    <x v="0"/>
    <x v="3"/>
    <n v="25"/>
    <n v="50"/>
  </r>
  <r>
    <n v="412"/>
    <d v="2023-09-16T00:00:00"/>
    <x v="0"/>
    <x v="8"/>
    <x v="701"/>
    <s v="Female"/>
    <n v="19"/>
    <x v="2"/>
    <x v="1"/>
    <n v="500"/>
    <n v="2000"/>
  </r>
  <r>
    <n v="632"/>
    <d v="2023-09-16T00:00:00"/>
    <x v="0"/>
    <x v="8"/>
    <x v="702"/>
    <s v="Female"/>
    <n v="26"/>
    <x v="2"/>
    <x v="1"/>
    <n v="25"/>
    <n v="100"/>
  </r>
  <r>
    <n v="167"/>
    <d v="2023-09-17T00:00:00"/>
    <x v="0"/>
    <x v="8"/>
    <x v="703"/>
    <s v="Female"/>
    <n v="43"/>
    <x v="0"/>
    <x v="0"/>
    <n v="50"/>
    <n v="150"/>
  </r>
  <r>
    <n v="172"/>
    <d v="2023-09-17T00:00:00"/>
    <x v="0"/>
    <x v="8"/>
    <x v="704"/>
    <s v="Male"/>
    <n v="32"/>
    <x v="1"/>
    <x v="3"/>
    <n v="25"/>
    <n v="50"/>
  </r>
  <r>
    <n v="375"/>
    <d v="2023-09-17T00:00:00"/>
    <x v="0"/>
    <x v="8"/>
    <x v="705"/>
    <s v="Male"/>
    <n v="32"/>
    <x v="0"/>
    <x v="2"/>
    <n v="50"/>
    <n v="50"/>
  </r>
  <r>
    <n v="538"/>
    <d v="2023-09-17T00:00:00"/>
    <x v="0"/>
    <x v="8"/>
    <x v="706"/>
    <s v="Male"/>
    <n v="18"/>
    <x v="0"/>
    <x v="0"/>
    <n v="50"/>
    <n v="150"/>
  </r>
  <r>
    <n v="794"/>
    <d v="2023-09-17T00:00:00"/>
    <x v="0"/>
    <x v="8"/>
    <x v="707"/>
    <s v="Female"/>
    <n v="60"/>
    <x v="1"/>
    <x v="2"/>
    <n v="300"/>
    <n v="300"/>
  </r>
  <r>
    <n v="131"/>
    <d v="2023-09-18T00:00:00"/>
    <x v="0"/>
    <x v="8"/>
    <x v="708"/>
    <s v="Female"/>
    <n v="21"/>
    <x v="1"/>
    <x v="3"/>
    <n v="300"/>
    <n v="600"/>
  </r>
  <r>
    <n v="330"/>
    <d v="2023-09-18T00:00:00"/>
    <x v="0"/>
    <x v="8"/>
    <x v="709"/>
    <s v="Female"/>
    <n v="25"/>
    <x v="1"/>
    <x v="1"/>
    <n v="50"/>
    <n v="200"/>
  </r>
  <r>
    <n v="494"/>
    <d v="2023-09-18T00:00:00"/>
    <x v="0"/>
    <x v="8"/>
    <x v="710"/>
    <s v="Female"/>
    <n v="42"/>
    <x v="1"/>
    <x v="1"/>
    <n v="50"/>
    <n v="200"/>
  </r>
  <r>
    <n v="513"/>
    <d v="2023-09-19T00:00:00"/>
    <x v="0"/>
    <x v="8"/>
    <x v="711"/>
    <s v="Male"/>
    <n v="24"/>
    <x v="2"/>
    <x v="1"/>
    <n v="25"/>
    <n v="100"/>
  </r>
  <r>
    <n v="573"/>
    <d v="2023-09-19T00:00:00"/>
    <x v="0"/>
    <x v="8"/>
    <x v="712"/>
    <s v="Male"/>
    <n v="49"/>
    <x v="1"/>
    <x v="3"/>
    <n v="30"/>
    <n v="60"/>
  </r>
  <r>
    <n v="241"/>
    <d v="2023-09-21T00:00:00"/>
    <x v="0"/>
    <x v="8"/>
    <x v="713"/>
    <s v="Female"/>
    <n v="23"/>
    <x v="2"/>
    <x v="0"/>
    <n v="25"/>
    <n v="75"/>
  </r>
  <r>
    <n v="579"/>
    <d v="2023-09-21T00:00:00"/>
    <x v="0"/>
    <x v="8"/>
    <x v="714"/>
    <s v="Female"/>
    <n v="38"/>
    <x v="2"/>
    <x v="2"/>
    <n v="30"/>
    <n v="30"/>
  </r>
  <r>
    <n v="218"/>
    <d v="2023-09-22T00:00:00"/>
    <x v="0"/>
    <x v="8"/>
    <x v="715"/>
    <s v="Male"/>
    <n v="64"/>
    <x v="1"/>
    <x v="0"/>
    <n v="30"/>
    <n v="90"/>
  </r>
  <r>
    <n v="846"/>
    <d v="2023-09-22T00:00:00"/>
    <x v="0"/>
    <x v="8"/>
    <x v="716"/>
    <s v="Male"/>
    <n v="42"/>
    <x v="1"/>
    <x v="2"/>
    <n v="50"/>
    <n v="50"/>
  </r>
  <r>
    <n v="616"/>
    <d v="2023-09-23T00:00:00"/>
    <x v="0"/>
    <x v="8"/>
    <x v="717"/>
    <s v="Male"/>
    <n v="41"/>
    <x v="0"/>
    <x v="3"/>
    <n v="50"/>
    <n v="100"/>
  </r>
  <r>
    <n v="523"/>
    <d v="2023-09-24T00:00:00"/>
    <x v="0"/>
    <x v="8"/>
    <x v="718"/>
    <s v="Female"/>
    <n v="62"/>
    <x v="2"/>
    <x v="2"/>
    <n v="300"/>
    <n v="300"/>
  </r>
  <r>
    <n v="643"/>
    <d v="2023-09-24T00:00:00"/>
    <x v="0"/>
    <x v="8"/>
    <x v="719"/>
    <s v="Female"/>
    <n v="28"/>
    <x v="2"/>
    <x v="0"/>
    <n v="30"/>
    <n v="90"/>
  </r>
  <r>
    <n v="351"/>
    <d v="2023-09-25T00:00:00"/>
    <x v="0"/>
    <x v="8"/>
    <x v="720"/>
    <s v="Female"/>
    <n v="56"/>
    <x v="0"/>
    <x v="0"/>
    <n v="30"/>
    <n v="90"/>
  </r>
  <r>
    <n v="809"/>
    <d v="2023-09-25T00:00:00"/>
    <x v="0"/>
    <x v="8"/>
    <x v="721"/>
    <s v="Female"/>
    <n v="62"/>
    <x v="1"/>
    <x v="3"/>
    <n v="50"/>
    <n v="100"/>
  </r>
  <r>
    <n v="954"/>
    <d v="2023-09-25T00:00:00"/>
    <x v="0"/>
    <x v="8"/>
    <x v="722"/>
    <s v="Female"/>
    <n v="50"/>
    <x v="2"/>
    <x v="0"/>
    <n v="300"/>
    <n v="900"/>
  </r>
  <r>
    <n v="897"/>
    <d v="2023-09-26T00:00:00"/>
    <x v="0"/>
    <x v="8"/>
    <x v="723"/>
    <s v="Female"/>
    <n v="64"/>
    <x v="2"/>
    <x v="3"/>
    <n v="50"/>
    <n v="100"/>
  </r>
  <r>
    <n v="147"/>
    <d v="2023-09-28T00:00:00"/>
    <x v="0"/>
    <x v="8"/>
    <x v="724"/>
    <s v="Male"/>
    <n v="23"/>
    <x v="2"/>
    <x v="2"/>
    <n v="300"/>
    <n v="300"/>
  </r>
  <r>
    <n v="204"/>
    <d v="2023-09-28T00:00:00"/>
    <x v="0"/>
    <x v="8"/>
    <x v="725"/>
    <s v="Male"/>
    <n v="39"/>
    <x v="1"/>
    <x v="2"/>
    <n v="25"/>
    <n v="25"/>
  </r>
  <r>
    <n v="390"/>
    <d v="2023-09-28T00:00:00"/>
    <x v="0"/>
    <x v="8"/>
    <x v="726"/>
    <s v="Male"/>
    <n v="39"/>
    <x v="2"/>
    <x v="3"/>
    <n v="50"/>
    <n v="100"/>
  </r>
  <r>
    <n v="179"/>
    <d v="2023-09-29T00:00:00"/>
    <x v="0"/>
    <x v="8"/>
    <x v="727"/>
    <s v="Male"/>
    <n v="31"/>
    <x v="2"/>
    <x v="2"/>
    <n v="300"/>
    <n v="300"/>
  </r>
  <r>
    <n v="327"/>
    <d v="2023-09-29T00:00:00"/>
    <x v="0"/>
    <x v="8"/>
    <x v="728"/>
    <s v="Male"/>
    <n v="57"/>
    <x v="2"/>
    <x v="0"/>
    <n v="50"/>
    <n v="150"/>
  </r>
  <r>
    <n v="626"/>
    <d v="2023-09-29T00:00:00"/>
    <x v="0"/>
    <x v="8"/>
    <x v="729"/>
    <s v="Female"/>
    <n v="26"/>
    <x v="0"/>
    <x v="1"/>
    <n v="500"/>
    <n v="2000"/>
  </r>
  <r>
    <n v="873"/>
    <d v="2023-09-29T00:00:00"/>
    <x v="0"/>
    <x v="8"/>
    <x v="730"/>
    <s v="Female"/>
    <n v="27"/>
    <x v="2"/>
    <x v="1"/>
    <n v="25"/>
    <n v="100"/>
  </r>
  <r>
    <n v="196"/>
    <d v="2023-09-30T00:00:00"/>
    <x v="0"/>
    <x v="8"/>
    <x v="731"/>
    <s v="Female"/>
    <n v="32"/>
    <x v="0"/>
    <x v="0"/>
    <n v="300"/>
    <n v="900"/>
  </r>
  <r>
    <n v="789"/>
    <d v="2023-09-30T00:00:00"/>
    <x v="0"/>
    <x v="8"/>
    <x v="732"/>
    <s v="Female"/>
    <n v="61"/>
    <x v="0"/>
    <x v="1"/>
    <n v="500"/>
    <n v="2000"/>
  </r>
  <r>
    <n v="89"/>
    <d v="2023-10-01T00:00:00"/>
    <x v="0"/>
    <x v="9"/>
    <x v="733"/>
    <s v="Female"/>
    <n v="55"/>
    <x v="2"/>
    <x v="1"/>
    <n v="500"/>
    <n v="2000"/>
  </r>
  <r>
    <n v="707"/>
    <d v="2023-10-01T00:00:00"/>
    <x v="0"/>
    <x v="9"/>
    <x v="734"/>
    <s v="Female"/>
    <n v="26"/>
    <x v="0"/>
    <x v="2"/>
    <n v="500"/>
    <n v="500"/>
  </r>
  <r>
    <n v="909"/>
    <d v="2023-10-01T00:00:00"/>
    <x v="0"/>
    <x v="9"/>
    <x v="735"/>
    <s v="Male"/>
    <n v="26"/>
    <x v="2"/>
    <x v="2"/>
    <n v="300"/>
    <n v="300"/>
  </r>
  <r>
    <n v="51"/>
    <d v="2023-10-02T00:00:00"/>
    <x v="0"/>
    <x v="9"/>
    <x v="736"/>
    <s v="Male"/>
    <n v="27"/>
    <x v="1"/>
    <x v="0"/>
    <n v="25"/>
    <n v="75"/>
  </r>
  <r>
    <n v="154"/>
    <d v="2023-10-02T00:00:00"/>
    <x v="0"/>
    <x v="9"/>
    <x v="737"/>
    <s v="Male"/>
    <n v="51"/>
    <x v="2"/>
    <x v="0"/>
    <n v="300"/>
    <n v="900"/>
  </r>
  <r>
    <n v="276"/>
    <d v="2023-10-02T00:00:00"/>
    <x v="0"/>
    <x v="9"/>
    <x v="738"/>
    <s v="Female"/>
    <n v="21"/>
    <x v="1"/>
    <x v="1"/>
    <n v="25"/>
    <n v="100"/>
  </r>
  <r>
    <n v="497"/>
    <d v="2023-10-02T00:00:00"/>
    <x v="0"/>
    <x v="9"/>
    <x v="739"/>
    <s v="Male"/>
    <n v="41"/>
    <x v="0"/>
    <x v="1"/>
    <n v="30"/>
    <n v="120"/>
  </r>
  <r>
    <n v="889"/>
    <d v="2023-10-02T00:00:00"/>
    <x v="0"/>
    <x v="9"/>
    <x v="740"/>
    <s v="Female"/>
    <n v="35"/>
    <x v="2"/>
    <x v="2"/>
    <n v="50"/>
    <n v="50"/>
  </r>
  <r>
    <n v="122"/>
    <d v="2023-10-03T00:00:00"/>
    <x v="0"/>
    <x v="9"/>
    <x v="741"/>
    <s v="Male"/>
    <n v="64"/>
    <x v="2"/>
    <x v="1"/>
    <n v="30"/>
    <n v="120"/>
  </r>
  <r>
    <n v="373"/>
    <d v="2023-10-03T00:00:00"/>
    <x v="0"/>
    <x v="9"/>
    <x v="742"/>
    <s v="Female"/>
    <n v="25"/>
    <x v="1"/>
    <x v="3"/>
    <n v="300"/>
    <n v="600"/>
  </r>
  <r>
    <n v="524"/>
    <d v="2023-10-03T00:00:00"/>
    <x v="0"/>
    <x v="9"/>
    <x v="743"/>
    <s v="Male"/>
    <n v="46"/>
    <x v="1"/>
    <x v="1"/>
    <n v="300"/>
    <n v="1200"/>
  </r>
  <r>
    <n v="688"/>
    <d v="2023-10-03T00:00:00"/>
    <x v="0"/>
    <x v="9"/>
    <x v="744"/>
    <s v="Male"/>
    <n v="56"/>
    <x v="0"/>
    <x v="1"/>
    <n v="25"/>
    <n v="100"/>
  </r>
  <r>
    <n v="813"/>
    <d v="2023-10-03T00:00:00"/>
    <x v="0"/>
    <x v="9"/>
    <x v="745"/>
    <s v="Male"/>
    <n v="52"/>
    <x v="2"/>
    <x v="0"/>
    <n v="50"/>
    <n v="150"/>
  </r>
  <r>
    <n v="178"/>
    <d v="2023-10-04T00:00:00"/>
    <x v="0"/>
    <x v="9"/>
    <x v="746"/>
    <s v="Male"/>
    <n v="40"/>
    <x v="0"/>
    <x v="3"/>
    <n v="30"/>
    <n v="60"/>
  </r>
  <r>
    <n v="208"/>
    <d v="2023-10-04T00:00:00"/>
    <x v="0"/>
    <x v="9"/>
    <x v="747"/>
    <s v="Female"/>
    <n v="34"/>
    <x v="2"/>
    <x v="1"/>
    <n v="50"/>
    <n v="200"/>
  </r>
  <r>
    <n v="247"/>
    <d v="2023-10-04T00:00:00"/>
    <x v="0"/>
    <x v="9"/>
    <x v="748"/>
    <s v="Male"/>
    <n v="41"/>
    <x v="2"/>
    <x v="3"/>
    <n v="30"/>
    <n v="60"/>
  </r>
  <r>
    <n v="290"/>
    <d v="2023-10-04T00:00:00"/>
    <x v="0"/>
    <x v="9"/>
    <x v="749"/>
    <s v="Female"/>
    <n v="30"/>
    <x v="1"/>
    <x v="3"/>
    <n v="300"/>
    <n v="600"/>
  </r>
  <r>
    <n v="656"/>
    <d v="2023-10-04T00:00:00"/>
    <x v="0"/>
    <x v="9"/>
    <x v="750"/>
    <s v="Male"/>
    <n v="29"/>
    <x v="1"/>
    <x v="0"/>
    <n v="30"/>
    <n v="90"/>
  </r>
  <r>
    <n v="735"/>
    <d v="2023-10-04T00:00:00"/>
    <x v="0"/>
    <x v="9"/>
    <x v="751"/>
    <s v="Female"/>
    <n v="64"/>
    <x v="0"/>
    <x v="1"/>
    <n v="500"/>
    <n v="2000"/>
  </r>
  <r>
    <n v="319"/>
    <d v="2023-10-05T00:00:00"/>
    <x v="0"/>
    <x v="9"/>
    <x v="752"/>
    <s v="Male"/>
    <n v="31"/>
    <x v="0"/>
    <x v="2"/>
    <n v="500"/>
    <n v="500"/>
  </r>
  <r>
    <n v="670"/>
    <d v="2023-10-05T00:00:00"/>
    <x v="0"/>
    <x v="9"/>
    <x v="753"/>
    <s v="Male"/>
    <n v="27"/>
    <x v="1"/>
    <x v="2"/>
    <n v="30"/>
    <n v="30"/>
  </r>
  <r>
    <n v="385"/>
    <d v="2023-10-06T00:00:00"/>
    <x v="0"/>
    <x v="9"/>
    <x v="754"/>
    <s v="Male"/>
    <n v="50"/>
    <x v="2"/>
    <x v="0"/>
    <n v="500"/>
    <n v="1500"/>
  </r>
  <r>
    <n v="10"/>
    <d v="2023-10-07T00:00:00"/>
    <x v="0"/>
    <x v="9"/>
    <x v="755"/>
    <s v="Female"/>
    <n v="52"/>
    <x v="0"/>
    <x v="1"/>
    <n v="50"/>
    <n v="200"/>
  </r>
  <r>
    <n v="26"/>
    <d v="2023-10-07T00:00:00"/>
    <x v="0"/>
    <x v="9"/>
    <x v="756"/>
    <s v="Female"/>
    <n v="28"/>
    <x v="2"/>
    <x v="3"/>
    <n v="500"/>
    <n v="1000"/>
  </r>
  <r>
    <n v="437"/>
    <d v="2023-10-07T00:00:00"/>
    <x v="0"/>
    <x v="9"/>
    <x v="757"/>
    <s v="Female"/>
    <n v="35"/>
    <x v="2"/>
    <x v="1"/>
    <n v="300"/>
    <n v="1200"/>
  </r>
  <r>
    <n v="689"/>
    <d v="2023-10-07T00:00:00"/>
    <x v="0"/>
    <x v="9"/>
    <x v="758"/>
    <s v="Male"/>
    <n v="57"/>
    <x v="2"/>
    <x v="3"/>
    <n v="50"/>
    <n v="100"/>
  </r>
  <r>
    <n v="558"/>
    <d v="2023-10-08T00:00:00"/>
    <x v="0"/>
    <x v="9"/>
    <x v="759"/>
    <s v="Female"/>
    <n v="41"/>
    <x v="0"/>
    <x v="2"/>
    <n v="25"/>
    <n v="25"/>
  </r>
  <r>
    <n v="634"/>
    <d v="2023-10-08T00:00:00"/>
    <x v="0"/>
    <x v="9"/>
    <x v="760"/>
    <s v="Male"/>
    <n v="60"/>
    <x v="2"/>
    <x v="1"/>
    <n v="500"/>
    <n v="2000"/>
  </r>
  <r>
    <n v="201"/>
    <d v="2023-10-09T00:00:00"/>
    <x v="0"/>
    <x v="9"/>
    <x v="761"/>
    <s v="Male"/>
    <n v="56"/>
    <x v="2"/>
    <x v="2"/>
    <n v="25"/>
    <n v="25"/>
  </r>
  <r>
    <n v="286"/>
    <d v="2023-10-09T00:00:00"/>
    <x v="0"/>
    <x v="9"/>
    <x v="762"/>
    <s v="Male"/>
    <n v="55"/>
    <x v="2"/>
    <x v="3"/>
    <n v="25"/>
    <n v="50"/>
  </r>
  <r>
    <n v="876"/>
    <d v="2023-10-09T00:00:00"/>
    <x v="0"/>
    <x v="9"/>
    <x v="763"/>
    <s v="Male"/>
    <n v="43"/>
    <x v="0"/>
    <x v="1"/>
    <n v="30"/>
    <n v="120"/>
  </r>
  <r>
    <n v="55"/>
    <d v="2023-10-10T00:00:00"/>
    <x v="0"/>
    <x v="9"/>
    <x v="764"/>
    <s v="Male"/>
    <n v="31"/>
    <x v="1"/>
    <x v="1"/>
    <n v="30"/>
    <n v="120"/>
  </r>
  <r>
    <n v="428"/>
    <d v="2023-10-10T00:00:00"/>
    <x v="0"/>
    <x v="9"/>
    <x v="765"/>
    <s v="Female"/>
    <n v="40"/>
    <x v="2"/>
    <x v="1"/>
    <n v="50"/>
    <n v="200"/>
  </r>
  <r>
    <n v="441"/>
    <d v="2023-10-10T00:00:00"/>
    <x v="0"/>
    <x v="9"/>
    <x v="766"/>
    <s v="Male"/>
    <n v="57"/>
    <x v="1"/>
    <x v="1"/>
    <n v="300"/>
    <n v="1200"/>
  </r>
  <r>
    <n v="976"/>
    <d v="2023-10-10T00:00:00"/>
    <x v="0"/>
    <x v="9"/>
    <x v="767"/>
    <s v="Female"/>
    <n v="48"/>
    <x v="1"/>
    <x v="3"/>
    <n v="300"/>
    <n v="600"/>
  </r>
  <r>
    <n v="149"/>
    <d v="2023-10-11T00:00:00"/>
    <x v="0"/>
    <x v="9"/>
    <x v="768"/>
    <s v="Male"/>
    <n v="22"/>
    <x v="0"/>
    <x v="0"/>
    <n v="25"/>
    <n v="75"/>
  </r>
  <r>
    <n v="227"/>
    <d v="2023-10-11T00:00:00"/>
    <x v="0"/>
    <x v="9"/>
    <x v="769"/>
    <s v="Male"/>
    <n v="36"/>
    <x v="2"/>
    <x v="3"/>
    <n v="50"/>
    <n v="100"/>
  </r>
  <r>
    <n v="393"/>
    <d v="2023-10-11T00:00:00"/>
    <x v="0"/>
    <x v="9"/>
    <x v="770"/>
    <s v="Female"/>
    <n v="22"/>
    <x v="1"/>
    <x v="3"/>
    <n v="500"/>
    <n v="1000"/>
  </r>
  <r>
    <n v="401"/>
    <d v="2023-10-11T00:00:00"/>
    <x v="0"/>
    <x v="9"/>
    <x v="771"/>
    <s v="Female"/>
    <n v="62"/>
    <x v="0"/>
    <x v="2"/>
    <n v="300"/>
    <n v="300"/>
  </r>
  <r>
    <n v="546"/>
    <d v="2023-10-11T00:00:00"/>
    <x v="0"/>
    <x v="9"/>
    <x v="772"/>
    <s v="Female"/>
    <n v="36"/>
    <x v="2"/>
    <x v="1"/>
    <n v="50"/>
    <n v="200"/>
  </r>
  <r>
    <n v="872"/>
    <d v="2023-10-11T00:00:00"/>
    <x v="0"/>
    <x v="9"/>
    <x v="773"/>
    <s v="Female"/>
    <n v="63"/>
    <x v="1"/>
    <x v="0"/>
    <n v="25"/>
    <n v="75"/>
  </r>
  <r>
    <n v="914"/>
    <d v="2023-10-11T00:00:00"/>
    <x v="0"/>
    <x v="9"/>
    <x v="774"/>
    <s v="Female"/>
    <n v="59"/>
    <x v="2"/>
    <x v="2"/>
    <n v="500"/>
    <n v="500"/>
  </r>
  <r>
    <n v="310"/>
    <d v="2023-10-12T00:00:00"/>
    <x v="0"/>
    <x v="9"/>
    <x v="775"/>
    <s v="Female"/>
    <n v="28"/>
    <x v="1"/>
    <x v="2"/>
    <n v="25"/>
    <n v="25"/>
  </r>
  <r>
    <n v="844"/>
    <d v="2023-10-12T00:00:00"/>
    <x v="0"/>
    <x v="9"/>
    <x v="776"/>
    <s v="Male"/>
    <n v="35"/>
    <x v="0"/>
    <x v="0"/>
    <n v="50"/>
    <n v="150"/>
  </r>
  <r>
    <n v="852"/>
    <d v="2023-10-12T00:00:00"/>
    <x v="0"/>
    <x v="9"/>
    <x v="777"/>
    <s v="Female"/>
    <n v="41"/>
    <x v="0"/>
    <x v="2"/>
    <n v="300"/>
    <n v="300"/>
  </r>
  <r>
    <n v="97"/>
    <d v="2023-10-13T00:00:00"/>
    <x v="0"/>
    <x v="9"/>
    <x v="778"/>
    <s v="Female"/>
    <n v="51"/>
    <x v="1"/>
    <x v="3"/>
    <n v="500"/>
    <n v="1000"/>
  </r>
  <r>
    <n v="619"/>
    <d v="2023-10-13T00:00:00"/>
    <x v="0"/>
    <x v="9"/>
    <x v="779"/>
    <s v="Male"/>
    <n v="47"/>
    <x v="2"/>
    <x v="1"/>
    <n v="25"/>
    <n v="100"/>
  </r>
  <r>
    <n v="948"/>
    <d v="2023-10-13T00:00:00"/>
    <x v="0"/>
    <x v="9"/>
    <x v="780"/>
    <s v="Female"/>
    <n v="23"/>
    <x v="2"/>
    <x v="0"/>
    <n v="25"/>
    <n v="75"/>
  </r>
  <r>
    <n v="456"/>
    <d v="2023-10-14T00:00:00"/>
    <x v="0"/>
    <x v="9"/>
    <x v="781"/>
    <s v="Male"/>
    <n v="57"/>
    <x v="2"/>
    <x v="3"/>
    <n v="30"/>
    <n v="60"/>
  </r>
  <r>
    <n v="627"/>
    <d v="2023-10-14T00:00:00"/>
    <x v="0"/>
    <x v="9"/>
    <x v="782"/>
    <s v="Male"/>
    <n v="57"/>
    <x v="0"/>
    <x v="2"/>
    <n v="50"/>
    <n v="50"/>
  </r>
  <r>
    <n v="22"/>
    <d v="2023-10-15T00:00:00"/>
    <x v="0"/>
    <x v="9"/>
    <x v="783"/>
    <s v="Male"/>
    <n v="18"/>
    <x v="0"/>
    <x v="3"/>
    <n v="50"/>
    <n v="100"/>
  </r>
  <r>
    <n v="121"/>
    <d v="2023-10-15T00:00:00"/>
    <x v="0"/>
    <x v="9"/>
    <x v="784"/>
    <s v="Female"/>
    <n v="28"/>
    <x v="2"/>
    <x v="1"/>
    <n v="50"/>
    <n v="200"/>
  </r>
  <r>
    <n v="431"/>
    <d v="2023-10-15T00:00:00"/>
    <x v="0"/>
    <x v="9"/>
    <x v="785"/>
    <s v="Male"/>
    <n v="63"/>
    <x v="2"/>
    <x v="1"/>
    <n v="300"/>
    <n v="1200"/>
  </r>
  <r>
    <n v="370"/>
    <d v="2023-10-16T00:00:00"/>
    <x v="0"/>
    <x v="9"/>
    <x v="786"/>
    <s v="Male"/>
    <n v="23"/>
    <x v="2"/>
    <x v="3"/>
    <n v="30"/>
    <n v="60"/>
  </r>
  <r>
    <n v="711"/>
    <d v="2023-10-16T00:00:00"/>
    <x v="0"/>
    <x v="9"/>
    <x v="787"/>
    <s v="Male"/>
    <n v="26"/>
    <x v="2"/>
    <x v="0"/>
    <n v="500"/>
    <n v="1500"/>
  </r>
  <r>
    <n v="754"/>
    <d v="2023-10-16T00:00:00"/>
    <x v="0"/>
    <x v="9"/>
    <x v="788"/>
    <s v="Female"/>
    <n v="43"/>
    <x v="2"/>
    <x v="1"/>
    <n v="25"/>
    <n v="100"/>
  </r>
  <r>
    <n v="943"/>
    <d v="2023-10-16T00:00:00"/>
    <x v="0"/>
    <x v="9"/>
    <x v="789"/>
    <s v="Female"/>
    <n v="57"/>
    <x v="0"/>
    <x v="1"/>
    <n v="300"/>
    <n v="1200"/>
  </r>
  <r>
    <n v="350"/>
    <d v="2023-10-17T00:00:00"/>
    <x v="0"/>
    <x v="9"/>
    <x v="790"/>
    <s v="Male"/>
    <n v="25"/>
    <x v="1"/>
    <x v="0"/>
    <n v="25"/>
    <n v="75"/>
  </r>
  <r>
    <n v="786"/>
    <d v="2023-10-17T00:00:00"/>
    <x v="0"/>
    <x v="9"/>
    <x v="791"/>
    <s v="Male"/>
    <n v="48"/>
    <x v="0"/>
    <x v="1"/>
    <n v="25"/>
    <n v="100"/>
  </r>
  <r>
    <n v="109"/>
    <d v="2023-10-18T00:00:00"/>
    <x v="0"/>
    <x v="9"/>
    <x v="792"/>
    <s v="Female"/>
    <n v="34"/>
    <x v="2"/>
    <x v="1"/>
    <n v="500"/>
    <n v="2000"/>
  </r>
  <r>
    <n v="191"/>
    <d v="2023-10-18T00:00:00"/>
    <x v="0"/>
    <x v="9"/>
    <x v="793"/>
    <s v="Male"/>
    <n v="64"/>
    <x v="1"/>
    <x v="2"/>
    <n v="25"/>
    <n v="25"/>
  </r>
  <r>
    <n v="340"/>
    <d v="2023-10-19T00:00:00"/>
    <x v="0"/>
    <x v="9"/>
    <x v="794"/>
    <s v="Female"/>
    <n v="36"/>
    <x v="0"/>
    <x v="1"/>
    <n v="300"/>
    <n v="1200"/>
  </r>
  <r>
    <n v="555"/>
    <d v="2023-10-19T00:00:00"/>
    <x v="0"/>
    <x v="9"/>
    <x v="795"/>
    <s v="Male"/>
    <n v="25"/>
    <x v="1"/>
    <x v="2"/>
    <n v="300"/>
    <n v="300"/>
  </r>
  <r>
    <n v="826"/>
    <d v="2023-10-19T00:00:00"/>
    <x v="0"/>
    <x v="9"/>
    <x v="796"/>
    <s v="Female"/>
    <n v="46"/>
    <x v="0"/>
    <x v="2"/>
    <n v="300"/>
    <n v="300"/>
  </r>
  <r>
    <n v="962"/>
    <d v="2023-10-19T00:00:00"/>
    <x v="0"/>
    <x v="9"/>
    <x v="797"/>
    <s v="Male"/>
    <n v="44"/>
    <x v="0"/>
    <x v="3"/>
    <n v="30"/>
    <n v="60"/>
  </r>
  <r>
    <n v="249"/>
    <d v="2023-10-20T00:00:00"/>
    <x v="0"/>
    <x v="9"/>
    <x v="798"/>
    <s v="Male"/>
    <n v="20"/>
    <x v="0"/>
    <x v="2"/>
    <n v="50"/>
    <n v="50"/>
  </r>
  <r>
    <n v="922"/>
    <d v="2023-10-21T00:00:00"/>
    <x v="0"/>
    <x v="9"/>
    <x v="799"/>
    <s v="Male"/>
    <n v="41"/>
    <x v="2"/>
    <x v="2"/>
    <n v="50"/>
    <n v="50"/>
  </r>
  <r>
    <n v="600"/>
    <d v="2023-10-22T00:00:00"/>
    <x v="0"/>
    <x v="9"/>
    <x v="800"/>
    <s v="Female"/>
    <n v="59"/>
    <x v="1"/>
    <x v="3"/>
    <n v="500"/>
    <n v="1000"/>
  </r>
  <r>
    <n v="680"/>
    <d v="2023-10-22T00:00:00"/>
    <x v="0"/>
    <x v="9"/>
    <x v="801"/>
    <s v="Female"/>
    <n v="53"/>
    <x v="0"/>
    <x v="0"/>
    <n v="300"/>
    <n v="900"/>
  </r>
  <r>
    <n v="770"/>
    <d v="2023-10-22T00:00:00"/>
    <x v="0"/>
    <x v="9"/>
    <x v="802"/>
    <s v="Male"/>
    <n v="32"/>
    <x v="0"/>
    <x v="2"/>
    <n v="50"/>
    <n v="50"/>
  </r>
  <r>
    <n v="60"/>
    <d v="2023-10-23T00:00:00"/>
    <x v="0"/>
    <x v="9"/>
    <x v="803"/>
    <s v="Male"/>
    <n v="30"/>
    <x v="1"/>
    <x v="0"/>
    <n v="50"/>
    <n v="150"/>
  </r>
  <r>
    <n v="250"/>
    <d v="2023-10-23T00:00:00"/>
    <x v="0"/>
    <x v="9"/>
    <x v="804"/>
    <s v="Male"/>
    <n v="48"/>
    <x v="2"/>
    <x v="2"/>
    <n v="50"/>
    <n v="50"/>
  </r>
  <r>
    <n v="516"/>
    <d v="2023-10-23T00:00:00"/>
    <x v="0"/>
    <x v="9"/>
    <x v="805"/>
    <s v="Male"/>
    <n v="30"/>
    <x v="1"/>
    <x v="1"/>
    <n v="25"/>
    <n v="100"/>
  </r>
  <r>
    <n v="937"/>
    <d v="2023-10-23T00:00:00"/>
    <x v="0"/>
    <x v="9"/>
    <x v="806"/>
    <s v="Female"/>
    <n v="62"/>
    <x v="1"/>
    <x v="2"/>
    <n v="500"/>
    <n v="500"/>
  </r>
  <r>
    <n v="318"/>
    <d v="2023-10-24T00:00:00"/>
    <x v="0"/>
    <x v="9"/>
    <x v="807"/>
    <s v="Male"/>
    <n v="61"/>
    <x v="0"/>
    <x v="2"/>
    <n v="25"/>
    <n v="25"/>
  </r>
  <r>
    <n v="342"/>
    <d v="2023-10-24T00:00:00"/>
    <x v="0"/>
    <x v="9"/>
    <x v="808"/>
    <s v="Female"/>
    <n v="43"/>
    <x v="0"/>
    <x v="1"/>
    <n v="500"/>
    <n v="2000"/>
  </r>
  <r>
    <n v="564"/>
    <d v="2023-10-24T00:00:00"/>
    <x v="0"/>
    <x v="9"/>
    <x v="809"/>
    <s v="Male"/>
    <n v="50"/>
    <x v="2"/>
    <x v="3"/>
    <n v="50"/>
    <n v="100"/>
  </r>
  <r>
    <n v="767"/>
    <d v="2023-10-24T00:00:00"/>
    <x v="0"/>
    <x v="9"/>
    <x v="810"/>
    <s v="Male"/>
    <n v="39"/>
    <x v="1"/>
    <x v="0"/>
    <n v="25"/>
    <n v="75"/>
  </r>
  <r>
    <n v="503"/>
    <d v="2023-10-25T00:00:00"/>
    <x v="0"/>
    <x v="9"/>
    <x v="811"/>
    <s v="Male"/>
    <n v="45"/>
    <x v="1"/>
    <x v="1"/>
    <n v="500"/>
    <n v="2000"/>
  </r>
  <r>
    <n v="869"/>
    <d v="2023-10-25T00:00:00"/>
    <x v="0"/>
    <x v="9"/>
    <x v="812"/>
    <s v="Male"/>
    <n v="37"/>
    <x v="1"/>
    <x v="0"/>
    <n v="500"/>
    <n v="1500"/>
  </r>
  <r>
    <n v="126"/>
    <d v="2023-10-26T00:00:00"/>
    <x v="0"/>
    <x v="9"/>
    <x v="813"/>
    <s v="Female"/>
    <n v="28"/>
    <x v="0"/>
    <x v="0"/>
    <n v="30"/>
    <n v="90"/>
  </r>
  <r>
    <n v="349"/>
    <d v="2023-10-26T00:00:00"/>
    <x v="0"/>
    <x v="9"/>
    <x v="814"/>
    <s v="Female"/>
    <n v="57"/>
    <x v="1"/>
    <x v="2"/>
    <n v="50"/>
    <n v="50"/>
  </r>
  <r>
    <n v="440"/>
    <d v="2023-10-26T00:00:00"/>
    <x v="0"/>
    <x v="9"/>
    <x v="815"/>
    <s v="Male"/>
    <n v="64"/>
    <x v="0"/>
    <x v="3"/>
    <n v="300"/>
    <n v="600"/>
  </r>
  <r>
    <n v="124"/>
    <d v="2023-10-27T00:00:00"/>
    <x v="0"/>
    <x v="9"/>
    <x v="816"/>
    <s v="Male"/>
    <n v="33"/>
    <x v="0"/>
    <x v="1"/>
    <n v="500"/>
    <n v="2000"/>
  </r>
  <r>
    <n v="324"/>
    <d v="2023-10-27T00:00:00"/>
    <x v="0"/>
    <x v="9"/>
    <x v="817"/>
    <s v="Female"/>
    <n v="52"/>
    <x v="2"/>
    <x v="0"/>
    <n v="50"/>
    <n v="150"/>
  </r>
  <r>
    <n v="677"/>
    <d v="2023-10-27T00:00:00"/>
    <x v="0"/>
    <x v="9"/>
    <x v="818"/>
    <s v="Female"/>
    <n v="19"/>
    <x v="1"/>
    <x v="0"/>
    <n v="500"/>
    <n v="1500"/>
  </r>
  <r>
    <n v="30"/>
    <d v="2023-10-29T00:00:00"/>
    <x v="0"/>
    <x v="9"/>
    <x v="819"/>
    <s v="Female"/>
    <n v="39"/>
    <x v="1"/>
    <x v="0"/>
    <n v="300"/>
    <n v="900"/>
  </r>
  <r>
    <n v="226"/>
    <d v="2023-10-29T00:00:00"/>
    <x v="0"/>
    <x v="9"/>
    <x v="820"/>
    <s v="Female"/>
    <n v="61"/>
    <x v="0"/>
    <x v="2"/>
    <n v="50"/>
    <n v="50"/>
  </r>
  <r>
    <n v="229"/>
    <d v="2023-10-29T00:00:00"/>
    <x v="0"/>
    <x v="9"/>
    <x v="821"/>
    <s v="Male"/>
    <n v="58"/>
    <x v="1"/>
    <x v="0"/>
    <n v="30"/>
    <n v="90"/>
  </r>
  <r>
    <n v="896"/>
    <d v="2023-10-29T00:00:00"/>
    <x v="0"/>
    <x v="9"/>
    <x v="822"/>
    <s v="Female"/>
    <n v="30"/>
    <x v="2"/>
    <x v="3"/>
    <n v="25"/>
    <n v="50"/>
  </r>
  <r>
    <n v="959"/>
    <d v="2023-10-29T00:00:00"/>
    <x v="0"/>
    <x v="9"/>
    <x v="823"/>
    <s v="Female"/>
    <n v="42"/>
    <x v="2"/>
    <x v="3"/>
    <n v="30"/>
    <n v="60"/>
  </r>
  <r>
    <n v="998"/>
    <d v="2023-10-29T00:00:00"/>
    <x v="0"/>
    <x v="9"/>
    <x v="824"/>
    <s v="Female"/>
    <n v="23"/>
    <x v="1"/>
    <x v="1"/>
    <n v="25"/>
    <n v="100"/>
  </r>
  <r>
    <n v="12"/>
    <d v="2023-10-30T00:00:00"/>
    <x v="0"/>
    <x v="9"/>
    <x v="825"/>
    <s v="Male"/>
    <n v="35"/>
    <x v="1"/>
    <x v="0"/>
    <n v="25"/>
    <n v="75"/>
  </r>
  <r>
    <n v="710"/>
    <d v="2023-10-31T00:00:00"/>
    <x v="0"/>
    <x v="9"/>
    <x v="826"/>
    <s v="Female"/>
    <n v="26"/>
    <x v="2"/>
    <x v="0"/>
    <n v="500"/>
    <n v="1500"/>
  </r>
  <r>
    <n v="776"/>
    <d v="2023-10-31T00:00:00"/>
    <x v="0"/>
    <x v="9"/>
    <x v="827"/>
    <s v="Male"/>
    <n v="35"/>
    <x v="0"/>
    <x v="0"/>
    <n v="30"/>
    <n v="90"/>
  </r>
  <r>
    <n v="817"/>
    <d v="2023-10-31T00:00:00"/>
    <x v="0"/>
    <x v="9"/>
    <x v="828"/>
    <s v="Male"/>
    <n v="30"/>
    <x v="1"/>
    <x v="1"/>
    <n v="50"/>
    <n v="200"/>
  </r>
  <r>
    <n v="334"/>
    <d v="2023-11-01T00:00:00"/>
    <x v="0"/>
    <x v="10"/>
    <x v="829"/>
    <s v="Male"/>
    <n v="31"/>
    <x v="2"/>
    <x v="0"/>
    <n v="300"/>
    <n v="900"/>
  </r>
  <r>
    <n v="343"/>
    <d v="2023-11-01T00:00:00"/>
    <x v="0"/>
    <x v="10"/>
    <x v="830"/>
    <s v="Male"/>
    <n v="21"/>
    <x v="2"/>
    <x v="3"/>
    <n v="25"/>
    <n v="50"/>
  </r>
  <r>
    <n v="628"/>
    <d v="2023-11-01T00:00:00"/>
    <x v="0"/>
    <x v="10"/>
    <x v="831"/>
    <s v="Female"/>
    <n v="19"/>
    <x v="1"/>
    <x v="1"/>
    <n v="50"/>
    <n v="200"/>
  </r>
  <r>
    <n v="983"/>
    <d v="2023-11-01T00:00:00"/>
    <x v="0"/>
    <x v="10"/>
    <x v="832"/>
    <s v="Female"/>
    <n v="29"/>
    <x v="0"/>
    <x v="2"/>
    <n v="300"/>
    <n v="300"/>
  </r>
  <r>
    <n v="141"/>
    <d v="2023-11-02T00:00:00"/>
    <x v="0"/>
    <x v="10"/>
    <x v="833"/>
    <s v="Female"/>
    <n v="22"/>
    <x v="2"/>
    <x v="2"/>
    <n v="50"/>
    <n v="50"/>
  </r>
  <r>
    <n v="145"/>
    <d v="2023-11-02T00:00:00"/>
    <x v="0"/>
    <x v="10"/>
    <x v="834"/>
    <s v="Female"/>
    <n v="39"/>
    <x v="0"/>
    <x v="0"/>
    <n v="25"/>
    <n v="75"/>
  </r>
  <r>
    <n v="507"/>
    <d v="2023-11-02T00:00:00"/>
    <x v="0"/>
    <x v="10"/>
    <x v="835"/>
    <s v="Female"/>
    <n v="37"/>
    <x v="2"/>
    <x v="0"/>
    <n v="500"/>
    <n v="1500"/>
  </r>
  <r>
    <n v="841"/>
    <d v="2023-11-02T00:00:00"/>
    <x v="0"/>
    <x v="10"/>
    <x v="836"/>
    <s v="Male"/>
    <n v="31"/>
    <x v="2"/>
    <x v="1"/>
    <n v="25"/>
    <n v="100"/>
  </r>
  <r>
    <n v="898"/>
    <d v="2023-11-02T00:00:00"/>
    <x v="0"/>
    <x v="10"/>
    <x v="837"/>
    <s v="Female"/>
    <n v="42"/>
    <x v="0"/>
    <x v="0"/>
    <n v="30"/>
    <n v="90"/>
  </r>
  <r>
    <n v="951"/>
    <d v="2023-11-02T00:00:00"/>
    <x v="0"/>
    <x v="10"/>
    <x v="838"/>
    <s v="Male"/>
    <n v="33"/>
    <x v="1"/>
    <x v="3"/>
    <n v="50"/>
    <n v="100"/>
  </r>
  <r>
    <n v="181"/>
    <d v="2023-11-03T00:00:00"/>
    <x v="0"/>
    <x v="10"/>
    <x v="839"/>
    <s v="Male"/>
    <n v="19"/>
    <x v="2"/>
    <x v="1"/>
    <n v="300"/>
    <n v="1200"/>
  </r>
  <r>
    <n v="784"/>
    <d v="2023-11-04T00:00:00"/>
    <x v="0"/>
    <x v="10"/>
    <x v="840"/>
    <s v="Female"/>
    <n v="34"/>
    <x v="2"/>
    <x v="2"/>
    <n v="500"/>
    <n v="500"/>
  </r>
  <r>
    <n v="20"/>
    <d v="2023-11-05T00:00:00"/>
    <x v="0"/>
    <x v="10"/>
    <x v="841"/>
    <s v="Male"/>
    <n v="22"/>
    <x v="0"/>
    <x v="0"/>
    <n v="300"/>
    <n v="900"/>
  </r>
  <r>
    <n v="690"/>
    <d v="2023-11-05T00:00:00"/>
    <x v="0"/>
    <x v="10"/>
    <x v="842"/>
    <s v="Female"/>
    <n v="52"/>
    <x v="0"/>
    <x v="0"/>
    <n v="300"/>
    <n v="900"/>
  </r>
  <r>
    <n v="47"/>
    <d v="2023-11-06T00:00:00"/>
    <x v="0"/>
    <x v="10"/>
    <x v="843"/>
    <s v="Female"/>
    <n v="40"/>
    <x v="1"/>
    <x v="0"/>
    <n v="500"/>
    <n v="1500"/>
  </r>
  <r>
    <n v="405"/>
    <d v="2023-11-06T00:00:00"/>
    <x v="0"/>
    <x v="10"/>
    <x v="844"/>
    <s v="Female"/>
    <n v="25"/>
    <x v="0"/>
    <x v="1"/>
    <n v="300"/>
    <n v="1200"/>
  </r>
  <r>
    <n v="205"/>
    <d v="2023-11-07T00:00:00"/>
    <x v="0"/>
    <x v="10"/>
    <x v="845"/>
    <s v="Female"/>
    <n v="43"/>
    <x v="0"/>
    <x v="2"/>
    <n v="25"/>
    <n v="25"/>
  </r>
  <r>
    <n v="512"/>
    <d v="2023-11-07T00:00:00"/>
    <x v="0"/>
    <x v="10"/>
    <x v="846"/>
    <s v="Female"/>
    <n v="57"/>
    <x v="1"/>
    <x v="2"/>
    <n v="25"/>
    <n v="25"/>
  </r>
  <r>
    <n v="565"/>
    <d v="2023-11-07T00:00:00"/>
    <x v="0"/>
    <x v="10"/>
    <x v="847"/>
    <s v="Female"/>
    <n v="45"/>
    <x v="1"/>
    <x v="3"/>
    <n v="30"/>
    <n v="60"/>
  </r>
  <r>
    <n v="761"/>
    <d v="2023-11-07T00:00:00"/>
    <x v="0"/>
    <x v="10"/>
    <x v="848"/>
    <s v="Female"/>
    <n v="33"/>
    <x v="0"/>
    <x v="2"/>
    <n v="500"/>
    <n v="500"/>
  </r>
  <r>
    <n v="762"/>
    <d v="2023-11-07T00:00:00"/>
    <x v="0"/>
    <x v="10"/>
    <x v="849"/>
    <s v="Female"/>
    <n v="24"/>
    <x v="2"/>
    <x v="3"/>
    <n v="25"/>
    <n v="50"/>
  </r>
  <r>
    <n v="950"/>
    <d v="2023-11-07T00:00:00"/>
    <x v="0"/>
    <x v="10"/>
    <x v="850"/>
    <s v="Male"/>
    <n v="36"/>
    <x v="0"/>
    <x v="0"/>
    <n v="300"/>
    <n v="900"/>
  </r>
  <r>
    <n v="86"/>
    <d v="2023-11-08T00:00:00"/>
    <x v="0"/>
    <x v="10"/>
    <x v="851"/>
    <s v="Male"/>
    <n v="19"/>
    <x v="1"/>
    <x v="0"/>
    <n v="30"/>
    <n v="90"/>
  </r>
  <r>
    <n v="173"/>
    <d v="2023-11-08T00:00:00"/>
    <x v="0"/>
    <x v="10"/>
    <x v="852"/>
    <s v="Male"/>
    <n v="64"/>
    <x v="2"/>
    <x v="1"/>
    <n v="30"/>
    <n v="120"/>
  </r>
  <r>
    <n v="595"/>
    <d v="2023-11-09T00:00:00"/>
    <x v="0"/>
    <x v="10"/>
    <x v="853"/>
    <s v="Female"/>
    <n v="18"/>
    <x v="0"/>
    <x v="1"/>
    <n v="500"/>
    <n v="2000"/>
  </r>
  <r>
    <n v="827"/>
    <d v="2023-11-09T00:00:00"/>
    <x v="0"/>
    <x v="10"/>
    <x v="854"/>
    <s v="Male"/>
    <n v="61"/>
    <x v="1"/>
    <x v="0"/>
    <n v="300"/>
    <n v="900"/>
  </r>
  <r>
    <n v="965"/>
    <d v="2023-11-09T00:00:00"/>
    <x v="0"/>
    <x v="10"/>
    <x v="855"/>
    <s v="Male"/>
    <n v="22"/>
    <x v="0"/>
    <x v="1"/>
    <n v="50"/>
    <n v="200"/>
  </r>
  <r>
    <n v="388"/>
    <d v="2023-11-10T00:00:00"/>
    <x v="0"/>
    <x v="10"/>
    <x v="856"/>
    <s v="Male"/>
    <n v="50"/>
    <x v="2"/>
    <x v="2"/>
    <n v="25"/>
    <n v="25"/>
  </r>
  <r>
    <n v="631"/>
    <d v="2023-11-10T00:00:00"/>
    <x v="0"/>
    <x v="10"/>
    <x v="857"/>
    <s v="Male"/>
    <n v="56"/>
    <x v="2"/>
    <x v="0"/>
    <n v="30"/>
    <n v="90"/>
  </r>
  <r>
    <n v="554"/>
    <d v="2023-11-12T00:00:00"/>
    <x v="0"/>
    <x v="10"/>
    <x v="858"/>
    <s v="Female"/>
    <n v="46"/>
    <x v="1"/>
    <x v="0"/>
    <n v="50"/>
    <n v="150"/>
  </r>
  <r>
    <n v="812"/>
    <d v="2023-11-12T00:00:00"/>
    <x v="0"/>
    <x v="10"/>
    <x v="859"/>
    <s v="Male"/>
    <n v="19"/>
    <x v="2"/>
    <x v="0"/>
    <n v="25"/>
    <n v="75"/>
  </r>
  <r>
    <n v="58"/>
    <d v="2023-11-13T00:00:00"/>
    <x v="0"/>
    <x v="10"/>
    <x v="860"/>
    <s v="Male"/>
    <n v="18"/>
    <x v="0"/>
    <x v="1"/>
    <n v="300"/>
    <n v="1200"/>
  </r>
  <r>
    <n v="952"/>
    <d v="2023-11-13T00:00:00"/>
    <x v="0"/>
    <x v="10"/>
    <x v="861"/>
    <s v="Female"/>
    <n v="57"/>
    <x v="0"/>
    <x v="2"/>
    <n v="25"/>
    <n v="25"/>
  </r>
  <r>
    <n v="345"/>
    <d v="2023-11-14T00:00:00"/>
    <x v="0"/>
    <x v="10"/>
    <x v="862"/>
    <s v="Male"/>
    <n v="62"/>
    <x v="2"/>
    <x v="2"/>
    <n v="30"/>
    <n v="30"/>
  </r>
  <r>
    <n v="458"/>
    <d v="2023-11-14T00:00:00"/>
    <x v="0"/>
    <x v="10"/>
    <x v="863"/>
    <s v="Female"/>
    <n v="39"/>
    <x v="2"/>
    <x v="1"/>
    <n v="25"/>
    <n v="100"/>
  </r>
  <r>
    <n v="582"/>
    <d v="2023-11-14T00:00:00"/>
    <x v="0"/>
    <x v="10"/>
    <x v="864"/>
    <s v="Male"/>
    <n v="35"/>
    <x v="0"/>
    <x v="0"/>
    <n v="300"/>
    <n v="900"/>
  </r>
  <r>
    <n v="963"/>
    <d v="2023-11-14T00:00:00"/>
    <x v="0"/>
    <x v="10"/>
    <x v="865"/>
    <s v="Female"/>
    <n v="55"/>
    <x v="1"/>
    <x v="2"/>
    <n v="50"/>
    <n v="50"/>
  </r>
  <r>
    <n v="369"/>
    <d v="2023-11-15T00:00:00"/>
    <x v="0"/>
    <x v="10"/>
    <x v="866"/>
    <s v="Male"/>
    <n v="23"/>
    <x v="2"/>
    <x v="0"/>
    <n v="500"/>
    <n v="1500"/>
  </r>
  <r>
    <n v="706"/>
    <d v="2023-11-15T00:00:00"/>
    <x v="0"/>
    <x v="10"/>
    <x v="867"/>
    <s v="Male"/>
    <n v="51"/>
    <x v="2"/>
    <x v="1"/>
    <n v="25"/>
    <n v="100"/>
  </r>
  <r>
    <n v="747"/>
    <d v="2023-11-15T00:00:00"/>
    <x v="0"/>
    <x v="10"/>
    <x v="868"/>
    <s v="Male"/>
    <n v="23"/>
    <x v="1"/>
    <x v="2"/>
    <n v="30"/>
    <n v="30"/>
  </r>
  <r>
    <n v="533"/>
    <d v="2023-11-16T00:00:00"/>
    <x v="0"/>
    <x v="10"/>
    <x v="869"/>
    <s v="Male"/>
    <n v="19"/>
    <x v="2"/>
    <x v="0"/>
    <n v="500"/>
    <n v="1500"/>
  </r>
  <r>
    <n v="169"/>
    <d v="2023-11-17T00:00:00"/>
    <x v="0"/>
    <x v="10"/>
    <x v="870"/>
    <s v="Male"/>
    <n v="18"/>
    <x v="1"/>
    <x v="0"/>
    <n v="500"/>
    <n v="1500"/>
  </r>
  <r>
    <n v="645"/>
    <d v="2023-11-17T00:00:00"/>
    <x v="0"/>
    <x v="10"/>
    <x v="871"/>
    <s v="Female"/>
    <n v="35"/>
    <x v="2"/>
    <x v="1"/>
    <n v="30"/>
    <n v="120"/>
  </r>
  <r>
    <n v="968"/>
    <d v="2023-11-17T00:00:00"/>
    <x v="0"/>
    <x v="10"/>
    <x v="872"/>
    <s v="Female"/>
    <n v="48"/>
    <x v="0"/>
    <x v="0"/>
    <n v="300"/>
    <n v="900"/>
  </r>
  <r>
    <n v="997"/>
    <d v="2023-11-17T00:00:00"/>
    <x v="0"/>
    <x v="10"/>
    <x v="873"/>
    <s v="Male"/>
    <n v="52"/>
    <x v="1"/>
    <x v="0"/>
    <n v="30"/>
    <n v="90"/>
  </r>
  <r>
    <n v="57"/>
    <d v="2023-11-18T00:00:00"/>
    <x v="0"/>
    <x v="10"/>
    <x v="874"/>
    <s v="Female"/>
    <n v="63"/>
    <x v="1"/>
    <x v="2"/>
    <n v="30"/>
    <n v="30"/>
  </r>
  <r>
    <n v="137"/>
    <d v="2023-11-18T00:00:00"/>
    <x v="0"/>
    <x v="10"/>
    <x v="875"/>
    <s v="Male"/>
    <n v="46"/>
    <x v="1"/>
    <x v="3"/>
    <n v="500"/>
    <n v="1000"/>
  </r>
  <r>
    <n v="778"/>
    <d v="2023-11-18T00:00:00"/>
    <x v="0"/>
    <x v="10"/>
    <x v="876"/>
    <s v="Female"/>
    <n v="47"/>
    <x v="1"/>
    <x v="1"/>
    <n v="25"/>
    <n v="100"/>
  </r>
  <r>
    <n v="599"/>
    <d v="2023-11-19T00:00:00"/>
    <x v="0"/>
    <x v="10"/>
    <x v="877"/>
    <s v="Female"/>
    <n v="28"/>
    <x v="1"/>
    <x v="3"/>
    <n v="50"/>
    <n v="100"/>
  </r>
  <r>
    <n v="938"/>
    <d v="2023-11-19T00:00:00"/>
    <x v="0"/>
    <x v="10"/>
    <x v="878"/>
    <s v="Male"/>
    <n v="49"/>
    <x v="0"/>
    <x v="1"/>
    <n v="50"/>
    <n v="200"/>
  </r>
  <r>
    <n v="234"/>
    <d v="2023-11-20T00:00:00"/>
    <x v="0"/>
    <x v="10"/>
    <x v="879"/>
    <s v="Female"/>
    <n v="62"/>
    <x v="2"/>
    <x v="3"/>
    <n v="25"/>
    <n v="50"/>
  </r>
  <r>
    <n v="410"/>
    <d v="2023-11-21T00:00:00"/>
    <x v="0"/>
    <x v="10"/>
    <x v="880"/>
    <s v="Female"/>
    <n v="29"/>
    <x v="0"/>
    <x v="3"/>
    <n v="50"/>
    <n v="100"/>
  </r>
  <r>
    <n v="417"/>
    <d v="2023-11-21T00:00:00"/>
    <x v="0"/>
    <x v="10"/>
    <x v="881"/>
    <s v="Male"/>
    <n v="43"/>
    <x v="2"/>
    <x v="0"/>
    <n v="300"/>
    <n v="900"/>
  </r>
  <r>
    <n v="581"/>
    <d v="2023-11-21T00:00:00"/>
    <x v="0"/>
    <x v="10"/>
    <x v="882"/>
    <s v="Female"/>
    <n v="48"/>
    <x v="1"/>
    <x v="3"/>
    <n v="30"/>
    <n v="60"/>
  </r>
  <r>
    <n v="74"/>
    <d v="2023-11-22T00:00:00"/>
    <x v="0"/>
    <x v="10"/>
    <x v="883"/>
    <s v="Female"/>
    <n v="18"/>
    <x v="1"/>
    <x v="1"/>
    <n v="500"/>
    <n v="2000"/>
  </r>
  <r>
    <n v="87"/>
    <d v="2023-11-22T00:00:00"/>
    <x v="0"/>
    <x v="10"/>
    <x v="884"/>
    <s v="Female"/>
    <n v="28"/>
    <x v="1"/>
    <x v="3"/>
    <n v="50"/>
    <n v="100"/>
  </r>
  <r>
    <n v="803"/>
    <d v="2023-11-22T00:00:00"/>
    <x v="0"/>
    <x v="10"/>
    <x v="885"/>
    <s v="Male"/>
    <n v="39"/>
    <x v="0"/>
    <x v="1"/>
    <n v="25"/>
    <n v="100"/>
  </r>
  <r>
    <n v="424"/>
    <d v="2023-11-23T00:00:00"/>
    <x v="0"/>
    <x v="10"/>
    <x v="886"/>
    <s v="Male"/>
    <n v="57"/>
    <x v="1"/>
    <x v="1"/>
    <n v="300"/>
    <n v="1200"/>
  </r>
  <r>
    <n v="641"/>
    <d v="2023-11-23T00:00:00"/>
    <x v="0"/>
    <x v="10"/>
    <x v="887"/>
    <s v="Female"/>
    <n v="40"/>
    <x v="2"/>
    <x v="2"/>
    <n v="300"/>
    <n v="300"/>
  </r>
  <r>
    <n v="918"/>
    <d v="2023-11-23T00:00:00"/>
    <x v="0"/>
    <x v="10"/>
    <x v="888"/>
    <s v="Female"/>
    <n v="42"/>
    <x v="2"/>
    <x v="0"/>
    <n v="30"/>
    <n v="90"/>
  </r>
  <r>
    <n v="1"/>
    <d v="2023-11-24T00:00:00"/>
    <x v="0"/>
    <x v="10"/>
    <x v="889"/>
    <s v="Male"/>
    <n v="34"/>
    <x v="1"/>
    <x v="0"/>
    <n v="50"/>
    <n v="150"/>
  </r>
  <r>
    <n v="95"/>
    <d v="2023-11-24T00:00:00"/>
    <x v="0"/>
    <x v="10"/>
    <x v="890"/>
    <s v="Female"/>
    <n v="32"/>
    <x v="0"/>
    <x v="3"/>
    <n v="30"/>
    <n v="60"/>
  </r>
  <r>
    <n v="171"/>
    <d v="2023-11-24T00:00:00"/>
    <x v="0"/>
    <x v="10"/>
    <x v="891"/>
    <s v="Female"/>
    <n v="52"/>
    <x v="0"/>
    <x v="0"/>
    <n v="300"/>
    <n v="900"/>
  </r>
  <r>
    <n v="156"/>
    <d v="2023-11-25T00:00:00"/>
    <x v="0"/>
    <x v="10"/>
    <x v="892"/>
    <s v="Female"/>
    <n v="43"/>
    <x v="0"/>
    <x v="1"/>
    <n v="25"/>
    <n v="100"/>
  </r>
  <r>
    <n v="493"/>
    <d v="2023-11-25T00:00:00"/>
    <x v="0"/>
    <x v="10"/>
    <x v="893"/>
    <s v="Male"/>
    <n v="41"/>
    <x v="1"/>
    <x v="3"/>
    <n v="25"/>
    <n v="50"/>
  </r>
  <r>
    <n v="115"/>
    <d v="2023-11-26T00:00:00"/>
    <x v="0"/>
    <x v="10"/>
    <x v="894"/>
    <s v="Male"/>
    <n v="51"/>
    <x v="0"/>
    <x v="0"/>
    <n v="500"/>
    <n v="1500"/>
  </r>
  <r>
    <n v="715"/>
    <d v="2023-11-26T00:00:00"/>
    <x v="0"/>
    <x v="10"/>
    <x v="895"/>
    <s v="Female"/>
    <n v="42"/>
    <x v="1"/>
    <x v="1"/>
    <n v="25"/>
    <n v="100"/>
  </r>
  <r>
    <n v="267"/>
    <d v="2023-11-27T00:00:00"/>
    <x v="0"/>
    <x v="10"/>
    <x v="896"/>
    <s v="Female"/>
    <n v="32"/>
    <x v="1"/>
    <x v="0"/>
    <n v="30"/>
    <n v="90"/>
  </r>
  <r>
    <n v="362"/>
    <d v="2023-11-27T00:00:00"/>
    <x v="0"/>
    <x v="10"/>
    <x v="897"/>
    <s v="Male"/>
    <n v="50"/>
    <x v="0"/>
    <x v="2"/>
    <n v="25"/>
    <n v="25"/>
  </r>
  <r>
    <n v="856"/>
    <d v="2023-11-27T00:00:00"/>
    <x v="0"/>
    <x v="10"/>
    <x v="898"/>
    <s v="Male"/>
    <n v="54"/>
    <x v="2"/>
    <x v="1"/>
    <n v="30"/>
    <n v="120"/>
  </r>
  <r>
    <n v="84"/>
    <d v="2023-11-28T00:00:00"/>
    <x v="0"/>
    <x v="10"/>
    <x v="899"/>
    <s v="Female"/>
    <n v="38"/>
    <x v="2"/>
    <x v="0"/>
    <n v="30"/>
    <n v="90"/>
  </r>
  <r>
    <n v="795"/>
    <d v="2023-11-28T00:00:00"/>
    <x v="0"/>
    <x v="10"/>
    <x v="900"/>
    <s v="Male"/>
    <n v="57"/>
    <x v="2"/>
    <x v="2"/>
    <n v="300"/>
    <n v="300"/>
  </r>
  <r>
    <n v="24"/>
    <d v="2023-11-29T00:00:00"/>
    <x v="0"/>
    <x v="10"/>
    <x v="901"/>
    <s v="Female"/>
    <n v="49"/>
    <x v="0"/>
    <x v="2"/>
    <n v="300"/>
    <n v="300"/>
  </r>
  <r>
    <n v="215"/>
    <d v="2023-11-29T00:00:00"/>
    <x v="0"/>
    <x v="10"/>
    <x v="902"/>
    <s v="Male"/>
    <n v="58"/>
    <x v="0"/>
    <x v="0"/>
    <n v="500"/>
    <n v="1500"/>
  </r>
  <r>
    <n v="739"/>
    <d v="2023-11-29T00:00:00"/>
    <x v="0"/>
    <x v="10"/>
    <x v="903"/>
    <s v="Male"/>
    <n v="36"/>
    <x v="1"/>
    <x v="2"/>
    <n v="25"/>
    <n v="25"/>
  </r>
  <r>
    <n v="289"/>
    <d v="2023-11-30T00:00:00"/>
    <x v="0"/>
    <x v="10"/>
    <x v="904"/>
    <s v="Male"/>
    <n v="53"/>
    <x v="2"/>
    <x v="3"/>
    <n v="30"/>
    <n v="60"/>
  </r>
  <r>
    <n v="741"/>
    <d v="2023-11-30T00:00:00"/>
    <x v="0"/>
    <x v="10"/>
    <x v="905"/>
    <s v="Male"/>
    <n v="48"/>
    <x v="0"/>
    <x v="2"/>
    <n v="300"/>
    <n v="300"/>
  </r>
  <r>
    <n v="810"/>
    <d v="2023-11-30T00:00:00"/>
    <x v="0"/>
    <x v="10"/>
    <x v="906"/>
    <s v="Male"/>
    <n v="59"/>
    <x v="2"/>
    <x v="1"/>
    <n v="25"/>
    <n v="100"/>
  </r>
  <r>
    <n v="266"/>
    <d v="2023-12-01T00:00:00"/>
    <x v="0"/>
    <x v="11"/>
    <x v="907"/>
    <s v="Female"/>
    <n v="19"/>
    <x v="2"/>
    <x v="3"/>
    <n v="30"/>
    <n v="60"/>
  </r>
  <r>
    <n v="389"/>
    <d v="2023-12-01T00:00:00"/>
    <x v="0"/>
    <x v="11"/>
    <x v="908"/>
    <s v="Male"/>
    <n v="21"/>
    <x v="0"/>
    <x v="3"/>
    <n v="25"/>
    <n v="50"/>
  </r>
  <r>
    <n v="112"/>
    <d v="2023-12-02T00:00:00"/>
    <x v="0"/>
    <x v="11"/>
    <x v="909"/>
    <s v="Male"/>
    <n v="37"/>
    <x v="0"/>
    <x v="0"/>
    <n v="500"/>
    <n v="1500"/>
  </r>
  <r>
    <n v="566"/>
    <d v="2023-12-02T00:00:00"/>
    <x v="0"/>
    <x v="11"/>
    <x v="910"/>
    <s v="Female"/>
    <n v="64"/>
    <x v="0"/>
    <x v="2"/>
    <n v="30"/>
    <n v="30"/>
  </r>
  <r>
    <n v="608"/>
    <d v="2023-12-02T00:00:00"/>
    <x v="0"/>
    <x v="11"/>
    <x v="911"/>
    <s v="Female"/>
    <n v="55"/>
    <x v="2"/>
    <x v="0"/>
    <n v="500"/>
    <n v="1500"/>
  </r>
  <r>
    <n v="348"/>
    <d v="2023-12-03T00:00:00"/>
    <x v="0"/>
    <x v="11"/>
    <x v="912"/>
    <s v="Female"/>
    <n v="35"/>
    <x v="2"/>
    <x v="3"/>
    <n v="300"/>
    <n v="600"/>
  </r>
  <r>
    <n v="199"/>
    <d v="2023-12-04T00:00:00"/>
    <x v="0"/>
    <x v="11"/>
    <x v="913"/>
    <s v="Male"/>
    <n v="45"/>
    <x v="1"/>
    <x v="0"/>
    <n v="500"/>
    <n v="1500"/>
  </r>
  <r>
    <n v="258"/>
    <d v="2023-12-04T00:00:00"/>
    <x v="0"/>
    <x v="11"/>
    <x v="914"/>
    <s v="Female"/>
    <n v="37"/>
    <x v="0"/>
    <x v="2"/>
    <n v="50"/>
    <n v="50"/>
  </r>
  <r>
    <n v="485"/>
    <d v="2023-12-04T00:00:00"/>
    <x v="0"/>
    <x v="11"/>
    <x v="915"/>
    <s v="Male"/>
    <n v="24"/>
    <x v="2"/>
    <x v="2"/>
    <n v="30"/>
    <n v="30"/>
  </r>
  <r>
    <n v="576"/>
    <d v="2023-12-04T00:00:00"/>
    <x v="0"/>
    <x v="11"/>
    <x v="916"/>
    <s v="Female"/>
    <n v="33"/>
    <x v="1"/>
    <x v="0"/>
    <n v="50"/>
    <n v="150"/>
  </r>
  <r>
    <n v="65"/>
    <d v="2023-12-05T00:00:00"/>
    <x v="0"/>
    <x v="11"/>
    <x v="917"/>
    <s v="Male"/>
    <n v="51"/>
    <x v="2"/>
    <x v="1"/>
    <n v="500"/>
    <n v="2000"/>
  </r>
  <r>
    <n v="311"/>
    <d v="2023-12-05T00:00:00"/>
    <x v="0"/>
    <x v="11"/>
    <x v="918"/>
    <s v="Female"/>
    <n v="32"/>
    <x v="1"/>
    <x v="1"/>
    <n v="25"/>
    <n v="100"/>
  </r>
  <r>
    <n v="791"/>
    <d v="2023-12-05T00:00:00"/>
    <x v="0"/>
    <x v="11"/>
    <x v="919"/>
    <s v="Female"/>
    <n v="51"/>
    <x v="1"/>
    <x v="2"/>
    <n v="25"/>
    <n v="25"/>
  </r>
  <r>
    <n v="971"/>
    <d v="2023-12-05T00:00:00"/>
    <x v="0"/>
    <x v="11"/>
    <x v="920"/>
    <s v="Female"/>
    <n v="27"/>
    <x v="2"/>
    <x v="1"/>
    <n v="50"/>
    <n v="200"/>
  </r>
  <r>
    <n v="999"/>
    <d v="2023-12-05T00:00:00"/>
    <x v="0"/>
    <x v="11"/>
    <x v="921"/>
    <s v="Female"/>
    <n v="36"/>
    <x v="2"/>
    <x v="0"/>
    <n v="50"/>
    <n v="150"/>
  </r>
  <r>
    <n v="395"/>
    <d v="2023-12-06T00:00:00"/>
    <x v="0"/>
    <x v="11"/>
    <x v="922"/>
    <s v="Male"/>
    <n v="50"/>
    <x v="2"/>
    <x v="3"/>
    <n v="500"/>
    <n v="1000"/>
  </r>
  <r>
    <n v="535"/>
    <d v="2023-12-06T00:00:00"/>
    <x v="0"/>
    <x v="11"/>
    <x v="923"/>
    <s v="Male"/>
    <n v="47"/>
    <x v="1"/>
    <x v="0"/>
    <n v="30"/>
    <n v="90"/>
  </r>
  <r>
    <n v="580"/>
    <d v="2023-12-06T00:00:00"/>
    <x v="0"/>
    <x v="11"/>
    <x v="924"/>
    <s v="Female"/>
    <n v="31"/>
    <x v="0"/>
    <x v="0"/>
    <n v="500"/>
    <n v="1500"/>
  </r>
  <r>
    <n v="712"/>
    <d v="2023-12-06T00:00:00"/>
    <x v="0"/>
    <x v="11"/>
    <x v="925"/>
    <s v="Female"/>
    <n v="57"/>
    <x v="1"/>
    <x v="3"/>
    <n v="25"/>
    <n v="50"/>
  </r>
  <r>
    <n v="868"/>
    <d v="2023-12-06T00:00:00"/>
    <x v="0"/>
    <x v="11"/>
    <x v="926"/>
    <s v="Female"/>
    <n v="25"/>
    <x v="2"/>
    <x v="2"/>
    <n v="300"/>
    <n v="300"/>
  </r>
  <r>
    <n v="531"/>
    <d v="2023-12-07T00:00:00"/>
    <x v="0"/>
    <x v="11"/>
    <x v="927"/>
    <s v="Male"/>
    <n v="31"/>
    <x v="2"/>
    <x v="2"/>
    <n v="500"/>
    <n v="500"/>
  </r>
  <r>
    <n v="550"/>
    <d v="2023-12-07T00:00:00"/>
    <x v="0"/>
    <x v="11"/>
    <x v="928"/>
    <s v="Male"/>
    <n v="40"/>
    <x v="0"/>
    <x v="0"/>
    <n v="300"/>
    <n v="900"/>
  </r>
  <r>
    <n v="392"/>
    <d v="2023-12-08T00:00:00"/>
    <x v="0"/>
    <x v="11"/>
    <x v="929"/>
    <s v="Male"/>
    <n v="27"/>
    <x v="0"/>
    <x v="3"/>
    <n v="300"/>
    <n v="600"/>
  </r>
  <r>
    <n v="453"/>
    <d v="2023-12-08T00:00:00"/>
    <x v="0"/>
    <x v="11"/>
    <x v="930"/>
    <s v="Female"/>
    <n v="26"/>
    <x v="0"/>
    <x v="3"/>
    <n v="500"/>
    <n v="1000"/>
  </r>
  <r>
    <n v="540"/>
    <d v="2023-12-08T00:00:00"/>
    <x v="0"/>
    <x v="11"/>
    <x v="931"/>
    <s v="Female"/>
    <n v="46"/>
    <x v="2"/>
    <x v="0"/>
    <n v="300"/>
    <n v="900"/>
  </r>
  <r>
    <n v="625"/>
    <d v="2023-12-08T00:00:00"/>
    <x v="0"/>
    <x v="11"/>
    <x v="932"/>
    <s v="Male"/>
    <n v="31"/>
    <x v="0"/>
    <x v="2"/>
    <n v="300"/>
    <n v="300"/>
  </r>
  <r>
    <n v="244"/>
    <d v="2023-12-09T00:00:00"/>
    <x v="0"/>
    <x v="11"/>
    <x v="933"/>
    <s v="Male"/>
    <n v="28"/>
    <x v="1"/>
    <x v="3"/>
    <n v="50"/>
    <n v="100"/>
  </r>
  <r>
    <n v="355"/>
    <d v="2023-12-09T00:00:00"/>
    <x v="0"/>
    <x v="11"/>
    <x v="934"/>
    <s v="Female"/>
    <n v="55"/>
    <x v="2"/>
    <x v="2"/>
    <n v="500"/>
    <n v="500"/>
  </r>
  <r>
    <n v="468"/>
    <d v="2023-12-09T00:00:00"/>
    <x v="0"/>
    <x v="11"/>
    <x v="935"/>
    <s v="Male"/>
    <n v="40"/>
    <x v="2"/>
    <x v="2"/>
    <n v="25"/>
    <n v="25"/>
  </r>
  <r>
    <n v="700"/>
    <d v="2023-12-09T00:00:00"/>
    <x v="0"/>
    <x v="11"/>
    <x v="936"/>
    <s v="Male"/>
    <n v="36"/>
    <x v="2"/>
    <x v="1"/>
    <n v="500"/>
    <n v="2000"/>
  </r>
  <r>
    <n v="752"/>
    <d v="2023-12-09T00:00:00"/>
    <x v="0"/>
    <x v="11"/>
    <x v="937"/>
    <s v="Male"/>
    <n v="29"/>
    <x v="0"/>
    <x v="3"/>
    <n v="50"/>
    <n v="100"/>
  </r>
  <r>
    <n v="828"/>
    <d v="2023-12-09T00:00:00"/>
    <x v="0"/>
    <x v="11"/>
    <x v="938"/>
    <s v="Female"/>
    <n v="33"/>
    <x v="2"/>
    <x v="1"/>
    <n v="300"/>
    <n v="1200"/>
  </r>
  <r>
    <n v="80"/>
    <d v="2023-12-10T00:00:00"/>
    <x v="0"/>
    <x v="11"/>
    <x v="939"/>
    <s v="Female"/>
    <n v="64"/>
    <x v="0"/>
    <x v="3"/>
    <n v="30"/>
    <n v="60"/>
  </r>
  <r>
    <n v="214"/>
    <d v="2023-12-10T00:00:00"/>
    <x v="0"/>
    <x v="11"/>
    <x v="940"/>
    <s v="Male"/>
    <n v="20"/>
    <x v="1"/>
    <x v="3"/>
    <n v="30"/>
    <n v="60"/>
  </r>
  <r>
    <n v="361"/>
    <d v="2023-12-10T00:00:00"/>
    <x v="0"/>
    <x v="11"/>
    <x v="941"/>
    <s v="Female"/>
    <n v="34"/>
    <x v="2"/>
    <x v="1"/>
    <n v="300"/>
    <n v="1200"/>
  </r>
  <r>
    <n v="526"/>
    <d v="2023-12-10T00:00:00"/>
    <x v="0"/>
    <x v="11"/>
    <x v="942"/>
    <s v="Male"/>
    <n v="33"/>
    <x v="0"/>
    <x v="3"/>
    <n v="50"/>
    <n v="100"/>
  </r>
  <r>
    <n v="265"/>
    <d v="2023-12-11T00:00:00"/>
    <x v="0"/>
    <x v="11"/>
    <x v="943"/>
    <s v="Male"/>
    <n v="55"/>
    <x v="0"/>
    <x v="0"/>
    <n v="300"/>
    <n v="900"/>
  </r>
  <r>
    <n v="586"/>
    <d v="2023-12-11T00:00:00"/>
    <x v="0"/>
    <x v="11"/>
    <x v="944"/>
    <s v="Male"/>
    <n v="50"/>
    <x v="2"/>
    <x v="2"/>
    <n v="50"/>
    <n v="50"/>
  </r>
  <r>
    <n v="336"/>
    <d v="2023-12-12T00:00:00"/>
    <x v="0"/>
    <x v="11"/>
    <x v="945"/>
    <s v="Female"/>
    <n v="52"/>
    <x v="1"/>
    <x v="0"/>
    <n v="50"/>
    <n v="150"/>
  </r>
  <r>
    <n v="571"/>
    <d v="2023-12-12T00:00:00"/>
    <x v="0"/>
    <x v="11"/>
    <x v="946"/>
    <s v="Female"/>
    <n v="41"/>
    <x v="2"/>
    <x v="2"/>
    <n v="50"/>
    <n v="50"/>
  </r>
  <r>
    <n v="9"/>
    <d v="2023-12-13T00:00:00"/>
    <x v="0"/>
    <x v="11"/>
    <x v="947"/>
    <s v="Male"/>
    <n v="63"/>
    <x v="2"/>
    <x v="3"/>
    <n v="300"/>
    <n v="600"/>
  </r>
  <r>
    <n v="552"/>
    <d v="2023-12-13T00:00:00"/>
    <x v="0"/>
    <x v="11"/>
    <x v="948"/>
    <s v="Female"/>
    <n v="49"/>
    <x v="2"/>
    <x v="0"/>
    <n v="25"/>
    <n v="75"/>
  </r>
  <r>
    <n v="771"/>
    <d v="2023-12-13T00:00:00"/>
    <x v="0"/>
    <x v="11"/>
    <x v="949"/>
    <s v="Male"/>
    <n v="24"/>
    <x v="2"/>
    <x v="3"/>
    <n v="25"/>
    <n v="50"/>
  </r>
  <r>
    <n v="496"/>
    <d v="2023-12-14T00:00:00"/>
    <x v="0"/>
    <x v="11"/>
    <x v="950"/>
    <s v="Male"/>
    <n v="23"/>
    <x v="0"/>
    <x v="3"/>
    <n v="300"/>
    <n v="600"/>
  </r>
  <r>
    <n v="701"/>
    <d v="2023-12-14T00:00:00"/>
    <x v="0"/>
    <x v="11"/>
    <x v="951"/>
    <s v="Female"/>
    <n v="52"/>
    <x v="1"/>
    <x v="3"/>
    <n v="30"/>
    <n v="60"/>
  </r>
  <r>
    <n v="139"/>
    <d v="2023-12-15T00:00:00"/>
    <x v="0"/>
    <x v="11"/>
    <x v="952"/>
    <s v="Male"/>
    <n v="36"/>
    <x v="1"/>
    <x v="1"/>
    <n v="500"/>
    <n v="2000"/>
  </r>
  <r>
    <n v="151"/>
    <d v="2023-12-15T00:00:00"/>
    <x v="0"/>
    <x v="11"/>
    <x v="953"/>
    <s v="Male"/>
    <n v="29"/>
    <x v="0"/>
    <x v="2"/>
    <n v="50"/>
    <n v="50"/>
  </r>
  <r>
    <n v="83"/>
    <d v="2023-12-16T00:00:00"/>
    <x v="0"/>
    <x v="11"/>
    <x v="954"/>
    <s v="Male"/>
    <n v="54"/>
    <x v="2"/>
    <x v="3"/>
    <n v="50"/>
    <n v="100"/>
  </r>
  <r>
    <n v="153"/>
    <d v="2023-12-16T00:00:00"/>
    <x v="0"/>
    <x v="11"/>
    <x v="955"/>
    <s v="Male"/>
    <n v="63"/>
    <x v="2"/>
    <x v="3"/>
    <n v="500"/>
    <n v="1000"/>
  </r>
  <r>
    <n v="451"/>
    <d v="2023-12-16T00:00:00"/>
    <x v="0"/>
    <x v="11"/>
    <x v="956"/>
    <s v="Female"/>
    <n v="45"/>
    <x v="2"/>
    <x v="2"/>
    <n v="30"/>
    <n v="30"/>
  </r>
  <r>
    <n v="99"/>
    <d v="2023-12-17T00:00:00"/>
    <x v="0"/>
    <x v="11"/>
    <x v="957"/>
    <s v="Female"/>
    <n v="50"/>
    <x v="2"/>
    <x v="1"/>
    <n v="300"/>
    <n v="1200"/>
  </r>
  <r>
    <n v="783"/>
    <d v="2023-12-17T00:00:00"/>
    <x v="0"/>
    <x v="11"/>
    <x v="958"/>
    <s v="Female"/>
    <n v="56"/>
    <x v="0"/>
    <x v="2"/>
    <n v="300"/>
    <n v="300"/>
  </r>
  <r>
    <n v="409"/>
    <d v="2023-12-18T00:00:00"/>
    <x v="0"/>
    <x v="11"/>
    <x v="959"/>
    <s v="Female"/>
    <n v="21"/>
    <x v="2"/>
    <x v="0"/>
    <n v="300"/>
    <n v="900"/>
  </r>
  <r>
    <n v="525"/>
    <d v="2023-12-18T00:00:00"/>
    <x v="0"/>
    <x v="11"/>
    <x v="960"/>
    <s v="Female"/>
    <n v="47"/>
    <x v="1"/>
    <x v="3"/>
    <n v="25"/>
    <n v="50"/>
  </r>
  <r>
    <n v="939"/>
    <d v="2023-12-18T00:00:00"/>
    <x v="0"/>
    <x v="11"/>
    <x v="961"/>
    <s v="Female"/>
    <n v="46"/>
    <x v="2"/>
    <x v="2"/>
    <n v="300"/>
    <n v="300"/>
  </r>
  <r>
    <n v="994"/>
    <d v="2023-12-18T00:00:00"/>
    <x v="0"/>
    <x v="11"/>
    <x v="962"/>
    <s v="Female"/>
    <n v="51"/>
    <x v="1"/>
    <x v="3"/>
    <n v="500"/>
    <n v="1000"/>
  </r>
  <r>
    <n v="96"/>
    <d v="2023-12-19T00:00:00"/>
    <x v="0"/>
    <x v="11"/>
    <x v="963"/>
    <s v="Female"/>
    <n v="44"/>
    <x v="0"/>
    <x v="3"/>
    <n v="300"/>
    <n v="600"/>
  </r>
  <r>
    <n v="609"/>
    <d v="2023-12-19T00:00:00"/>
    <x v="0"/>
    <x v="11"/>
    <x v="964"/>
    <s v="Female"/>
    <n v="47"/>
    <x v="0"/>
    <x v="3"/>
    <n v="50"/>
    <n v="100"/>
  </r>
  <r>
    <n v="982"/>
    <d v="2023-12-19T00:00:00"/>
    <x v="0"/>
    <x v="11"/>
    <x v="965"/>
    <s v="Female"/>
    <n v="46"/>
    <x v="1"/>
    <x v="0"/>
    <n v="30"/>
    <n v="90"/>
  </r>
  <r>
    <n v="209"/>
    <d v="2023-12-20T00:00:00"/>
    <x v="0"/>
    <x v="11"/>
    <x v="966"/>
    <s v="Female"/>
    <n v="30"/>
    <x v="2"/>
    <x v="1"/>
    <n v="50"/>
    <n v="200"/>
  </r>
  <r>
    <n v="435"/>
    <d v="2023-12-20T00:00:00"/>
    <x v="0"/>
    <x v="11"/>
    <x v="967"/>
    <s v="Female"/>
    <n v="30"/>
    <x v="1"/>
    <x v="0"/>
    <n v="300"/>
    <n v="900"/>
  </r>
  <r>
    <n v="777"/>
    <d v="2023-12-20T00:00:00"/>
    <x v="0"/>
    <x v="11"/>
    <x v="968"/>
    <s v="Male"/>
    <n v="48"/>
    <x v="2"/>
    <x v="0"/>
    <n v="50"/>
    <n v="150"/>
  </r>
  <r>
    <n v="854"/>
    <d v="2023-12-20T00:00:00"/>
    <x v="0"/>
    <x v="11"/>
    <x v="969"/>
    <s v="Male"/>
    <n v="29"/>
    <x v="0"/>
    <x v="2"/>
    <n v="50"/>
    <n v="50"/>
  </r>
  <r>
    <n v="890"/>
    <d v="2023-12-20T00:00:00"/>
    <x v="0"/>
    <x v="11"/>
    <x v="970"/>
    <s v="Male"/>
    <n v="34"/>
    <x v="2"/>
    <x v="3"/>
    <n v="25"/>
    <n v="50"/>
  </r>
  <r>
    <n v="865"/>
    <d v="2023-12-21T00:00:00"/>
    <x v="0"/>
    <x v="11"/>
    <x v="971"/>
    <s v="Female"/>
    <n v="42"/>
    <x v="0"/>
    <x v="2"/>
    <n v="300"/>
    <n v="300"/>
  </r>
  <r>
    <n v="662"/>
    <d v="2023-12-22T00:00:00"/>
    <x v="0"/>
    <x v="11"/>
    <x v="972"/>
    <s v="Male"/>
    <n v="48"/>
    <x v="1"/>
    <x v="3"/>
    <n v="500"/>
    <n v="1000"/>
  </r>
  <r>
    <n v="309"/>
    <d v="2023-12-23T00:00:00"/>
    <x v="0"/>
    <x v="11"/>
    <x v="973"/>
    <s v="Female"/>
    <n v="26"/>
    <x v="1"/>
    <x v="2"/>
    <n v="25"/>
    <n v="25"/>
  </r>
  <r>
    <n v="544"/>
    <d v="2023-12-23T00:00:00"/>
    <x v="0"/>
    <x v="11"/>
    <x v="974"/>
    <s v="Female"/>
    <n v="27"/>
    <x v="2"/>
    <x v="2"/>
    <n v="25"/>
    <n v="25"/>
  </r>
  <r>
    <n v="602"/>
    <d v="2023-12-23T00:00:00"/>
    <x v="0"/>
    <x v="11"/>
    <x v="975"/>
    <s v="Female"/>
    <n v="20"/>
    <x v="2"/>
    <x v="2"/>
    <n v="300"/>
    <n v="300"/>
  </r>
  <r>
    <n v="615"/>
    <d v="2023-12-23T00:00:00"/>
    <x v="0"/>
    <x v="11"/>
    <x v="976"/>
    <s v="Female"/>
    <n v="61"/>
    <x v="0"/>
    <x v="1"/>
    <n v="25"/>
    <n v="100"/>
  </r>
  <r>
    <n v="678"/>
    <d v="2023-12-23T00:00:00"/>
    <x v="0"/>
    <x v="11"/>
    <x v="977"/>
    <s v="Female"/>
    <n v="60"/>
    <x v="2"/>
    <x v="0"/>
    <n v="300"/>
    <n v="900"/>
  </r>
  <r>
    <n v="781"/>
    <d v="2023-12-23T00:00:00"/>
    <x v="0"/>
    <x v="11"/>
    <x v="978"/>
    <s v="Male"/>
    <n v="35"/>
    <x v="1"/>
    <x v="2"/>
    <n v="500"/>
    <n v="500"/>
  </r>
  <r>
    <n v="34"/>
    <d v="2023-12-24T00:00:00"/>
    <x v="0"/>
    <x v="11"/>
    <x v="979"/>
    <s v="Female"/>
    <n v="51"/>
    <x v="0"/>
    <x v="0"/>
    <n v="50"/>
    <n v="150"/>
  </r>
  <r>
    <n v="916"/>
    <d v="2023-12-24T00:00:00"/>
    <x v="0"/>
    <x v="11"/>
    <x v="980"/>
    <s v="Female"/>
    <n v="32"/>
    <x v="2"/>
    <x v="2"/>
    <n v="50"/>
    <n v="50"/>
  </r>
  <r>
    <n v="757"/>
    <d v="2023-12-25T00:00:00"/>
    <x v="0"/>
    <x v="11"/>
    <x v="981"/>
    <s v="Female"/>
    <n v="43"/>
    <x v="2"/>
    <x v="1"/>
    <n v="300"/>
    <n v="1200"/>
  </r>
  <r>
    <n v="25"/>
    <d v="2023-12-26T00:00:00"/>
    <x v="0"/>
    <x v="11"/>
    <x v="982"/>
    <s v="Female"/>
    <n v="64"/>
    <x v="1"/>
    <x v="2"/>
    <n v="50"/>
    <n v="50"/>
  </r>
  <r>
    <n v="82"/>
    <d v="2023-12-26T00:00:00"/>
    <x v="0"/>
    <x v="11"/>
    <x v="983"/>
    <s v="Female"/>
    <n v="32"/>
    <x v="1"/>
    <x v="1"/>
    <n v="50"/>
    <n v="200"/>
  </r>
  <r>
    <n v="472"/>
    <d v="2023-12-26T00:00:00"/>
    <x v="0"/>
    <x v="11"/>
    <x v="984"/>
    <s v="Female"/>
    <n v="38"/>
    <x v="1"/>
    <x v="0"/>
    <n v="300"/>
    <n v="900"/>
  </r>
  <r>
    <n v="842"/>
    <d v="2023-12-26T00:00:00"/>
    <x v="0"/>
    <x v="11"/>
    <x v="985"/>
    <s v="Female"/>
    <n v="47"/>
    <x v="0"/>
    <x v="3"/>
    <n v="300"/>
    <n v="600"/>
  </r>
  <r>
    <n v="879"/>
    <d v="2023-12-26T00:00:00"/>
    <x v="0"/>
    <x v="11"/>
    <x v="986"/>
    <s v="Male"/>
    <n v="23"/>
    <x v="0"/>
    <x v="2"/>
    <n v="30"/>
    <n v="30"/>
  </r>
  <r>
    <n v="991"/>
    <d v="2023-12-26T00:00:00"/>
    <x v="0"/>
    <x v="11"/>
    <x v="987"/>
    <s v="Female"/>
    <n v="34"/>
    <x v="0"/>
    <x v="3"/>
    <n v="50"/>
    <n v="100"/>
  </r>
  <r>
    <n v="62"/>
    <d v="2023-12-27T00:00:00"/>
    <x v="0"/>
    <x v="11"/>
    <x v="988"/>
    <s v="Male"/>
    <n v="18"/>
    <x v="1"/>
    <x v="3"/>
    <n v="50"/>
    <n v="100"/>
  </r>
  <r>
    <n v="386"/>
    <d v="2023-12-27T00:00:00"/>
    <x v="0"/>
    <x v="11"/>
    <x v="989"/>
    <s v="Female"/>
    <n v="54"/>
    <x v="2"/>
    <x v="3"/>
    <n v="300"/>
    <n v="600"/>
  </r>
  <r>
    <n v="429"/>
    <d v="2023-12-28T00:00:00"/>
    <x v="0"/>
    <x v="11"/>
    <x v="990"/>
    <s v="Male"/>
    <n v="64"/>
    <x v="2"/>
    <x v="3"/>
    <n v="25"/>
    <n v="50"/>
  </r>
  <r>
    <n v="664"/>
    <d v="2023-12-28T00:00:00"/>
    <x v="0"/>
    <x v="11"/>
    <x v="991"/>
    <s v="Female"/>
    <n v="44"/>
    <x v="0"/>
    <x v="1"/>
    <n v="500"/>
    <n v="2000"/>
  </r>
  <r>
    <n v="989"/>
    <d v="2023-12-28T00:00:00"/>
    <x v="0"/>
    <x v="11"/>
    <x v="992"/>
    <s v="Female"/>
    <n v="44"/>
    <x v="2"/>
    <x v="2"/>
    <n v="25"/>
    <n v="25"/>
  </r>
  <r>
    <n v="233"/>
    <d v="2023-12-29T00:00:00"/>
    <x v="0"/>
    <x v="11"/>
    <x v="993"/>
    <s v="Female"/>
    <n v="51"/>
    <x v="1"/>
    <x v="3"/>
    <n v="300"/>
    <n v="600"/>
  </r>
  <r>
    <n v="520"/>
    <d v="2023-12-29T00:00:00"/>
    <x v="0"/>
    <x v="11"/>
    <x v="994"/>
    <s v="Female"/>
    <n v="49"/>
    <x v="2"/>
    <x v="1"/>
    <n v="25"/>
    <n v="100"/>
  </r>
  <r>
    <n v="805"/>
    <d v="2023-12-29T00:00:00"/>
    <x v="0"/>
    <x v="11"/>
    <x v="995"/>
    <s v="Female"/>
    <n v="30"/>
    <x v="1"/>
    <x v="0"/>
    <n v="500"/>
    <n v="1500"/>
  </r>
  <r>
    <n v="908"/>
    <d v="2023-12-29T00:00:00"/>
    <x v="0"/>
    <x v="11"/>
    <x v="996"/>
    <s v="Male"/>
    <n v="46"/>
    <x v="1"/>
    <x v="1"/>
    <n v="300"/>
    <n v="1200"/>
  </r>
  <r>
    <n v="857"/>
    <d v="2023-12-31T00:00:00"/>
    <x v="0"/>
    <x v="11"/>
    <x v="997"/>
    <s v="Male"/>
    <n v="60"/>
    <x v="2"/>
    <x v="3"/>
    <n v="25"/>
    <n v="50"/>
  </r>
  <r>
    <n v="211"/>
    <d v="2024-01-01T00:00:00"/>
    <x v="1"/>
    <x v="0"/>
    <x v="998"/>
    <s v="Male"/>
    <n v="42"/>
    <x v="1"/>
    <x v="0"/>
    <n v="500"/>
    <n v="1500"/>
  </r>
  <r>
    <n v="650"/>
    <d v="2024-01-01T00:00:00"/>
    <x v="1"/>
    <x v="0"/>
    <x v="999"/>
    <s v="Male"/>
    <n v="55"/>
    <x v="2"/>
    <x v="2"/>
    <n v="30"/>
    <n v="30"/>
  </r>
  <r>
    <n v="475"/>
    <d v="2024-02-07T00:00:00"/>
    <x v="1"/>
    <x v="1"/>
    <x v="750"/>
    <s v="Male"/>
    <n v="78"/>
    <x v="2"/>
    <x v="4"/>
    <n v="65"/>
    <n v="699"/>
  </r>
  <r>
    <n v="475"/>
    <d v="2024-02-08T00:00:00"/>
    <x v="1"/>
    <x v="1"/>
    <x v="112"/>
    <s v="Male"/>
    <n v="65"/>
    <x v="1"/>
    <x v="5"/>
    <n v="645"/>
    <n v="899"/>
  </r>
  <r>
    <n v="69"/>
    <d v="2024-03-02T00:00:00"/>
    <x v="1"/>
    <x v="2"/>
    <x v="842"/>
    <s v="Male"/>
    <n v="55"/>
    <x v="1"/>
    <x v="4"/>
    <n v="700"/>
    <n v="1440"/>
  </r>
  <r>
    <n v="475"/>
    <d v="2024-04-14T00:00:00"/>
    <x v="1"/>
    <x v="3"/>
    <x v="203"/>
    <s v="Male"/>
    <n v="22"/>
    <x v="1"/>
    <x v="1"/>
    <n v="599"/>
    <n v="199"/>
  </r>
  <r>
    <n v="475"/>
    <d v="2024-04-15T00:00:00"/>
    <x v="1"/>
    <x v="3"/>
    <x v="991"/>
    <s v="Male"/>
    <n v="62"/>
    <x v="2"/>
    <x v="6"/>
    <n v="65"/>
    <n v="899"/>
  </r>
  <r>
    <n v="475"/>
    <d v="2024-05-06T00:00:00"/>
    <x v="1"/>
    <x v="4"/>
    <x v="461"/>
    <s v="Male"/>
    <n v="85"/>
    <x v="1"/>
    <x v="6"/>
    <n v="250"/>
    <n v="1499"/>
  </r>
  <r>
    <n v="51"/>
    <d v="2024-06-03T00:00:00"/>
    <x v="1"/>
    <x v="5"/>
    <x v="322"/>
    <s v="Male"/>
    <n v="50"/>
    <x v="2"/>
    <x v="7"/>
    <n v="98"/>
    <n v="299"/>
  </r>
  <r>
    <n v="475"/>
    <d v="2024-06-11T00:00:00"/>
    <x v="1"/>
    <x v="5"/>
    <x v="314"/>
    <s v="Male"/>
    <n v="34"/>
    <x v="2"/>
    <x v="6"/>
    <n v="50"/>
    <n v="599"/>
  </r>
  <r>
    <n v="987"/>
    <d v="2024-08-04T00:00:00"/>
    <x v="1"/>
    <x v="7"/>
    <x v="390"/>
    <s v="Male"/>
    <n v="45"/>
    <x v="1"/>
    <x v="5"/>
    <n v="600"/>
    <n v="700"/>
  </r>
  <r>
    <n v="475"/>
    <d v="2024-08-09T00:00:00"/>
    <x v="1"/>
    <x v="7"/>
    <x v="189"/>
    <s v="Male"/>
    <n v="54"/>
    <x v="2"/>
    <x v="7"/>
    <n v="78"/>
    <n v="799"/>
  </r>
  <r>
    <n v="475"/>
    <d v="2024-08-10T00:00:00"/>
    <x v="1"/>
    <x v="7"/>
    <x v="199"/>
    <s v="Male"/>
    <n v="75"/>
    <x v="1"/>
    <x v="0"/>
    <n v="69"/>
    <n v="699"/>
  </r>
  <r>
    <n v="475"/>
    <d v="2024-09-16T00:00:00"/>
    <x v="1"/>
    <x v="8"/>
    <x v="287"/>
    <s v="Male"/>
    <n v="27"/>
    <x v="1"/>
    <x v="3"/>
    <n v="89"/>
    <n v="1000"/>
  </r>
  <r>
    <n v="475"/>
    <d v="2024-10-05T00:00:00"/>
    <x v="1"/>
    <x v="9"/>
    <x v="479"/>
    <s v="Male"/>
    <n v="95"/>
    <x v="2"/>
    <x v="1"/>
    <n v="350"/>
    <n v="769"/>
  </r>
  <r>
    <n v="475"/>
    <d v="2024-11-12T00:00:00"/>
    <x v="1"/>
    <x v="10"/>
    <x v="539"/>
    <s v="Male"/>
    <n v="23"/>
    <x v="1"/>
    <x v="5"/>
    <n v="30"/>
    <n v="499"/>
  </r>
  <r>
    <n v="475"/>
    <d v="2024-12-13T00:00:00"/>
    <x v="1"/>
    <x v="11"/>
    <x v="972"/>
    <s v="Male"/>
    <n v="20"/>
    <x v="2"/>
    <x v="6"/>
    <n v="200"/>
    <n v="3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A57AB21-6B61-4899-ACB8-E57C91CC4576}" name="PivotTable2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11">
    <pivotField showAll="0"/>
    <pivotField numFmtId="14" showAll="0"/>
    <pivotField numFmtId="1" showAll="0">
      <items count="3">
        <item x="0"/>
        <item x="1"/>
        <item t="default"/>
      </items>
    </pivotField>
    <pivotField numFmtId="1" showAll="0"/>
    <pivotField showAll="0"/>
    <pivotField showAll="0"/>
    <pivotField showAll="0"/>
    <pivotField axis="axisRow" showAll="0">
      <items count="4">
        <item x="1"/>
        <item x="0"/>
        <item x="2"/>
        <item t="default"/>
      </items>
    </pivotField>
    <pivotField numFmtId="1" showAll="0"/>
    <pivotField numFmtId="2" showAll="0"/>
    <pivotField dataField="1" numFmtId="2" showAll="0"/>
  </pivotFields>
  <rowFields count="1">
    <field x="7"/>
  </rowFields>
  <rowItems count="4">
    <i>
      <x/>
    </i>
    <i>
      <x v="1"/>
    </i>
    <i>
      <x v="2"/>
    </i>
    <i t="grand">
      <x/>
    </i>
  </rowItems>
  <colItems count="1">
    <i/>
  </colItems>
  <dataFields count="1">
    <dataField name="Sum of Total Amoun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1E904F-2871-4EF1-AECF-550E8A523C36}" name="PivotTable3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A3:G19" firstHeaderRow="1" firstDataRow="3" firstDataCol="1"/>
  <pivotFields count="11">
    <pivotField showAll="0"/>
    <pivotField numFmtId="14" showAll="0"/>
    <pivotField axis="axisRow" numFmtId="1" showAll="0">
      <items count="3">
        <item x="0"/>
        <item x="1"/>
        <item t="default"/>
      </items>
    </pivotField>
    <pivotField numFmtId="1" showAll="0"/>
    <pivotField showAll="0"/>
    <pivotField showAll="0"/>
    <pivotField showAll="0"/>
    <pivotField axis="axisCol" showAll="0">
      <items count="4">
        <item x="1"/>
        <item x="0"/>
        <item x="2"/>
        <item t="default"/>
      </items>
    </pivotField>
    <pivotField axis="axisRow" numFmtId="1" showAll="0">
      <items count="9">
        <item x="2"/>
        <item x="3"/>
        <item x="0"/>
        <item x="1"/>
        <item x="5"/>
        <item x="7"/>
        <item x="4"/>
        <item x="6"/>
        <item t="default"/>
      </items>
    </pivotField>
    <pivotField dataField="1" numFmtId="2" showAll="0"/>
    <pivotField dataField="1" numFmtId="2" showAll="0"/>
  </pivotFields>
  <rowFields count="2">
    <field x="2"/>
    <field x="8"/>
  </rowFields>
  <rowItems count="14">
    <i>
      <x/>
    </i>
    <i r="1">
      <x/>
    </i>
    <i r="1">
      <x v="1"/>
    </i>
    <i r="1">
      <x v="2"/>
    </i>
    <i r="1">
      <x v="3"/>
    </i>
    <i>
      <x v="1"/>
    </i>
    <i r="1">
      <x/>
    </i>
    <i r="1">
      <x v="1"/>
    </i>
    <i r="1">
      <x v="2"/>
    </i>
    <i r="1">
      <x v="3"/>
    </i>
    <i r="1">
      <x v="4"/>
    </i>
    <i r="1">
      <x v="5"/>
    </i>
    <i r="1">
      <x v="6"/>
    </i>
    <i r="1">
      <x v="7"/>
    </i>
  </rowItems>
  <colFields count="2">
    <field x="7"/>
    <field x="-2"/>
  </colFields>
  <colItems count="6">
    <i>
      <x/>
      <x/>
    </i>
    <i r="1" i="1">
      <x v="1"/>
    </i>
    <i>
      <x v="1"/>
      <x/>
    </i>
    <i r="1" i="1">
      <x v="1"/>
    </i>
    <i>
      <x v="2"/>
      <x/>
    </i>
    <i r="1" i="1">
      <x v="1"/>
    </i>
  </colItems>
  <dataFields count="2">
    <dataField name="Sum of Total Amount" fld="10" baseField="0" baseItem="0" numFmtId="2"/>
    <dataField name="Sum of Price per Unit" fld="9" baseField="0" baseItem="0" numFmtId="2"/>
  </dataFields>
  <chartFormats count="12">
    <chartFormat chart="15" format="12" series="1">
      <pivotArea type="data" outline="0" fieldPosition="0">
        <references count="2">
          <reference field="4294967294" count="1" selected="0">
            <x v="0"/>
          </reference>
          <reference field="7" count="1" selected="0">
            <x v="0"/>
          </reference>
        </references>
      </pivotArea>
    </chartFormat>
    <chartFormat chart="15" format="13" series="1">
      <pivotArea type="data" outline="0" fieldPosition="0">
        <references count="2">
          <reference field="4294967294" count="1" selected="0">
            <x v="1"/>
          </reference>
          <reference field="7" count="1" selected="0">
            <x v="0"/>
          </reference>
        </references>
      </pivotArea>
    </chartFormat>
    <chartFormat chart="15" format="14" series="1">
      <pivotArea type="data" outline="0" fieldPosition="0">
        <references count="2">
          <reference field="4294967294" count="1" selected="0">
            <x v="0"/>
          </reference>
          <reference field="7" count="1" selected="0">
            <x v="1"/>
          </reference>
        </references>
      </pivotArea>
    </chartFormat>
    <chartFormat chart="15" format="15" series="1">
      <pivotArea type="data" outline="0" fieldPosition="0">
        <references count="2">
          <reference field="4294967294" count="1" selected="0">
            <x v="1"/>
          </reference>
          <reference field="7" count="1" selected="0">
            <x v="1"/>
          </reference>
        </references>
      </pivotArea>
    </chartFormat>
    <chartFormat chart="15" format="16" series="1">
      <pivotArea type="data" outline="0" fieldPosition="0">
        <references count="2">
          <reference field="4294967294" count="1" selected="0">
            <x v="0"/>
          </reference>
          <reference field="7" count="1" selected="0">
            <x v="2"/>
          </reference>
        </references>
      </pivotArea>
    </chartFormat>
    <chartFormat chart="15" format="17" series="1">
      <pivotArea type="data" outline="0" fieldPosition="0">
        <references count="2">
          <reference field="4294967294" count="1" selected="0">
            <x v="1"/>
          </reference>
          <reference field="7" count="1" selected="0">
            <x v="2"/>
          </reference>
        </references>
      </pivotArea>
    </chartFormat>
    <chartFormat chart="27" format="0" series="1">
      <pivotArea type="data" outline="0" fieldPosition="0">
        <references count="2">
          <reference field="4294967294" count="1" selected="0">
            <x v="0"/>
          </reference>
          <reference field="7" count="1" selected="0">
            <x v="0"/>
          </reference>
        </references>
      </pivotArea>
    </chartFormat>
    <chartFormat chart="27" format="1" series="1">
      <pivotArea type="data" outline="0" fieldPosition="0">
        <references count="2">
          <reference field="4294967294" count="1" selected="0">
            <x v="1"/>
          </reference>
          <reference field="7" count="1" selected="0">
            <x v="0"/>
          </reference>
        </references>
      </pivotArea>
    </chartFormat>
    <chartFormat chart="27" format="2" series="1">
      <pivotArea type="data" outline="0" fieldPosition="0">
        <references count="2">
          <reference field="4294967294" count="1" selected="0">
            <x v="0"/>
          </reference>
          <reference field="7" count="1" selected="0">
            <x v="1"/>
          </reference>
        </references>
      </pivotArea>
    </chartFormat>
    <chartFormat chart="27" format="3" series="1">
      <pivotArea type="data" outline="0" fieldPosition="0">
        <references count="2">
          <reference field="4294967294" count="1" selected="0">
            <x v="1"/>
          </reference>
          <reference field="7" count="1" selected="0">
            <x v="1"/>
          </reference>
        </references>
      </pivotArea>
    </chartFormat>
    <chartFormat chart="27" format="4" series="1">
      <pivotArea type="data" outline="0" fieldPosition="0">
        <references count="2">
          <reference field="4294967294" count="1" selected="0">
            <x v="0"/>
          </reference>
          <reference field="7" count="1" selected="0">
            <x v="2"/>
          </reference>
        </references>
      </pivotArea>
    </chartFormat>
    <chartFormat chart="27" format="5" series="1">
      <pivotArea type="data" outline="0" fieldPosition="0">
        <references count="2">
          <reference field="4294967294" count="1" selected="0">
            <x v="1"/>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2F1AAF1-FAFD-4352-B965-11C74618E10F}"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3">
  <location ref="A3:S18" firstHeaderRow="1" firstDataRow="3" firstDataCol="1"/>
  <pivotFields count="11">
    <pivotField showAll="0"/>
    <pivotField numFmtId="14" showAll="0"/>
    <pivotField numFmtId="1" showAll="0">
      <items count="3">
        <item x="0"/>
        <item x="1"/>
        <item t="default"/>
      </items>
    </pivotField>
    <pivotField axis="axisRow" numFmtId="1" showAll="0">
      <items count="13">
        <item x="0"/>
        <item x="1"/>
        <item x="2"/>
        <item x="3"/>
        <item x="4"/>
        <item x="5"/>
        <item x="6"/>
        <item x="7"/>
        <item x="8"/>
        <item x="9"/>
        <item x="10"/>
        <item x="11"/>
        <item t="default"/>
      </items>
    </pivotField>
    <pivotField showAll="0"/>
    <pivotField showAll="0"/>
    <pivotField showAll="0"/>
    <pivotField showAll="0">
      <items count="4">
        <item x="1"/>
        <item x="0"/>
        <item x="2"/>
        <item t="default"/>
      </items>
    </pivotField>
    <pivotField axis="axisCol" numFmtId="1" showAll="0">
      <items count="9">
        <item x="2"/>
        <item x="3"/>
        <item x="0"/>
        <item x="1"/>
        <item x="5"/>
        <item x="7"/>
        <item x="4"/>
        <item x="6"/>
        <item t="default"/>
      </items>
    </pivotField>
    <pivotField dataField="1" numFmtId="2" showAll="0"/>
    <pivotField dataField="1" numFmtId="2" showAll="0"/>
  </pivotFields>
  <rowFields count="1">
    <field x="3"/>
  </rowFields>
  <rowItems count="13">
    <i>
      <x/>
    </i>
    <i>
      <x v="1"/>
    </i>
    <i>
      <x v="2"/>
    </i>
    <i>
      <x v="3"/>
    </i>
    <i>
      <x v="4"/>
    </i>
    <i>
      <x v="5"/>
    </i>
    <i>
      <x v="6"/>
    </i>
    <i>
      <x v="7"/>
    </i>
    <i>
      <x v="8"/>
    </i>
    <i>
      <x v="9"/>
    </i>
    <i>
      <x v="10"/>
    </i>
    <i>
      <x v="11"/>
    </i>
    <i t="grand">
      <x/>
    </i>
  </rowItems>
  <colFields count="2">
    <field x="-2"/>
    <field x="8"/>
  </colFields>
  <colItems count="18">
    <i>
      <x/>
      <x/>
    </i>
    <i r="1">
      <x v="1"/>
    </i>
    <i r="1">
      <x v="2"/>
    </i>
    <i r="1">
      <x v="3"/>
    </i>
    <i r="1">
      <x v="4"/>
    </i>
    <i r="1">
      <x v="5"/>
    </i>
    <i r="1">
      <x v="6"/>
    </i>
    <i r="1">
      <x v="7"/>
    </i>
    <i i="1">
      <x v="1"/>
      <x/>
    </i>
    <i r="1" i="1">
      <x v="1"/>
    </i>
    <i r="1" i="1">
      <x v="2"/>
    </i>
    <i r="1" i="1">
      <x v="3"/>
    </i>
    <i r="1" i="1">
      <x v="4"/>
    </i>
    <i r="1" i="1">
      <x v="5"/>
    </i>
    <i r="1" i="1">
      <x v="6"/>
    </i>
    <i r="1" i="1">
      <x v="7"/>
    </i>
    <i t="grand">
      <x/>
    </i>
    <i t="grand" i="1">
      <x/>
    </i>
  </colItems>
  <dataFields count="2">
    <dataField name="Sum of Total Amount" fld="10" baseField="0" baseItem="0" numFmtId="2"/>
    <dataField name="Sum of Price per Unit" fld="9" baseField="0" baseItem="0" numFmtId="2"/>
  </dataFields>
  <chartFormats count="36">
    <chartFormat chart="2" format="0" series="1">
      <pivotArea type="data" outline="0" fieldPosition="0">
        <references count="2">
          <reference field="4294967294" count="1" selected="0">
            <x v="0"/>
          </reference>
          <reference field="8" count="1" selected="0">
            <x v="0"/>
          </reference>
        </references>
      </pivotArea>
    </chartFormat>
    <chartFormat chart="2" format="1" series="1">
      <pivotArea type="data" outline="0" fieldPosition="0">
        <references count="2">
          <reference field="4294967294" count="1" selected="0">
            <x v="0"/>
          </reference>
          <reference field="8" count="1" selected="0">
            <x v="1"/>
          </reference>
        </references>
      </pivotArea>
    </chartFormat>
    <chartFormat chart="2" format="2" series="1">
      <pivotArea type="data" outline="0" fieldPosition="0">
        <references count="2">
          <reference field="4294967294" count="1" selected="0">
            <x v="0"/>
          </reference>
          <reference field="8" count="1" selected="0">
            <x v="2"/>
          </reference>
        </references>
      </pivotArea>
    </chartFormat>
    <chartFormat chart="2" format="3" series="1">
      <pivotArea type="data" outline="0" fieldPosition="0">
        <references count="2">
          <reference field="4294967294" count="1" selected="0">
            <x v="0"/>
          </reference>
          <reference field="8" count="1" selected="0">
            <x v="3"/>
          </reference>
        </references>
      </pivotArea>
    </chartFormat>
    <chartFormat chart="2" format="4" series="1">
      <pivotArea type="data" outline="0" fieldPosition="0">
        <references count="2">
          <reference field="4294967294" count="1" selected="0">
            <x v="1"/>
          </reference>
          <reference field="8" count="1" selected="0">
            <x v="0"/>
          </reference>
        </references>
      </pivotArea>
    </chartFormat>
    <chartFormat chart="2" format="5" series="1">
      <pivotArea type="data" outline="0" fieldPosition="0">
        <references count="2">
          <reference field="4294967294" count="1" selected="0">
            <x v="1"/>
          </reference>
          <reference field="8" count="1" selected="0">
            <x v="1"/>
          </reference>
        </references>
      </pivotArea>
    </chartFormat>
    <chartFormat chart="2" format="6" series="1">
      <pivotArea type="data" outline="0" fieldPosition="0">
        <references count="2">
          <reference field="4294967294" count="1" selected="0">
            <x v="1"/>
          </reference>
          <reference field="8" count="1" selected="0">
            <x v="2"/>
          </reference>
        </references>
      </pivotArea>
    </chartFormat>
    <chartFormat chart="2" format="7" series="1">
      <pivotArea type="data" outline="0" fieldPosition="0">
        <references count="2">
          <reference field="4294967294" count="1" selected="0">
            <x v="1"/>
          </reference>
          <reference field="8" count="1" selected="0">
            <x v="3"/>
          </reference>
        </references>
      </pivotArea>
    </chartFormat>
    <chartFormat chart="2" format="8" series="1">
      <pivotArea type="data" outline="0" fieldPosition="0">
        <references count="2">
          <reference field="4294967294" count="1" selected="0">
            <x v="1"/>
          </reference>
          <reference field="8" count="1" selected="0">
            <x v="4"/>
          </reference>
        </references>
      </pivotArea>
    </chartFormat>
    <chartFormat chart="2" format="9" series="1">
      <pivotArea type="data" outline="0" fieldPosition="0">
        <references count="2">
          <reference field="4294967294" count="1" selected="0">
            <x v="1"/>
          </reference>
          <reference field="8" count="1" selected="0">
            <x v="5"/>
          </reference>
        </references>
      </pivotArea>
    </chartFormat>
    <chartFormat chart="2" format="10" series="1">
      <pivotArea type="data" outline="0" fieldPosition="0">
        <references count="2">
          <reference field="4294967294" count="1" selected="0">
            <x v="1"/>
          </reference>
          <reference field="8" count="1" selected="0">
            <x v="6"/>
          </reference>
        </references>
      </pivotArea>
    </chartFormat>
    <chartFormat chart="2" format="11" series="1">
      <pivotArea type="data" outline="0" fieldPosition="0">
        <references count="2">
          <reference field="4294967294" count="1" selected="0">
            <x v="1"/>
          </reference>
          <reference field="8" count="1" selected="0">
            <x v="7"/>
          </reference>
        </references>
      </pivotArea>
    </chartFormat>
    <chartFormat chart="2" format="12" series="1">
      <pivotArea type="data" outline="0" fieldPosition="0">
        <references count="2">
          <reference field="4294967294" count="1" selected="0">
            <x v="0"/>
          </reference>
          <reference field="8" count="1" selected="0">
            <x v="4"/>
          </reference>
        </references>
      </pivotArea>
    </chartFormat>
    <chartFormat chart="2" format="13" series="1">
      <pivotArea type="data" outline="0" fieldPosition="0">
        <references count="2">
          <reference field="4294967294" count="1" selected="0">
            <x v="0"/>
          </reference>
          <reference field="8" count="1" selected="0">
            <x v="5"/>
          </reference>
        </references>
      </pivotArea>
    </chartFormat>
    <chartFormat chart="2" format="14" series="1">
      <pivotArea type="data" outline="0" fieldPosition="0">
        <references count="2">
          <reference field="4294967294" count="1" selected="0">
            <x v="0"/>
          </reference>
          <reference field="8" count="1" selected="0">
            <x v="6"/>
          </reference>
        </references>
      </pivotArea>
    </chartFormat>
    <chartFormat chart="2" format="15" series="1">
      <pivotArea type="data" outline="0" fieldPosition="0">
        <references count="2">
          <reference field="4294967294" count="1" selected="0">
            <x v="0"/>
          </reference>
          <reference field="8" count="1" selected="0">
            <x v="7"/>
          </reference>
        </references>
      </pivotArea>
    </chartFormat>
    <chartFormat chart="6" format="24" series="1">
      <pivotArea type="data" outline="0" fieldPosition="0">
        <references count="2">
          <reference field="4294967294" count="1" selected="0">
            <x v="0"/>
          </reference>
          <reference field="8" count="1" selected="0">
            <x v="0"/>
          </reference>
        </references>
      </pivotArea>
    </chartFormat>
    <chartFormat chart="6" format="25" series="1">
      <pivotArea type="data" outline="0" fieldPosition="0">
        <references count="2">
          <reference field="4294967294" count="1" selected="0">
            <x v="0"/>
          </reference>
          <reference field="8" count="1" selected="0">
            <x v="1"/>
          </reference>
        </references>
      </pivotArea>
    </chartFormat>
    <chartFormat chart="6" format="26" series="1">
      <pivotArea type="data" outline="0" fieldPosition="0">
        <references count="2">
          <reference field="4294967294" count="1" selected="0">
            <x v="0"/>
          </reference>
          <reference field="8" count="1" selected="0">
            <x v="2"/>
          </reference>
        </references>
      </pivotArea>
    </chartFormat>
    <chartFormat chart="6" format="27" series="1">
      <pivotArea type="data" outline="0" fieldPosition="0">
        <references count="2">
          <reference field="4294967294" count="1" selected="0">
            <x v="0"/>
          </reference>
          <reference field="8" count="1" selected="0">
            <x v="3"/>
          </reference>
        </references>
      </pivotArea>
    </chartFormat>
    <chartFormat chart="6" format="28" series="1">
      <pivotArea type="data" outline="0" fieldPosition="0">
        <references count="2">
          <reference field="4294967294" count="1" selected="0">
            <x v="1"/>
          </reference>
          <reference field="8" count="1" selected="0">
            <x v="0"/>
          </reference>
        </references>
      </pivotArea>
    </chartFormat>
    <chartFormat chart="6" format="29" series="1">
      <pivotArea type="data" outline="0" fieldPosition="0">
        <references count="2">
          <reference field="4294967294" count="1" selected="0">
            <x v="1"/>
          </reference>
          <reference field="8" count="1" selected="0">
            <x v="1"/>
          </reference>
        </references>
      </pivotArea>
    </chartFormat>
    <chartFormat chart="6" format="30" series="1">
      <pivotArea type="data" outline="0" fieldPosition="0">
        <references count="2">
          <reference field="4294967294" count="1" selected="0">
            <x v="1"/>
          </reference>
          <reference field="8" count="1" selected="0">
            <x v="2"/>
          </reference>
        </references>
      </pivotArea>
    </chartFormat>
    <chartFormat chart="6" format="31" series="1">
      <pivotArea type="data" outline="0" fieldPosition="0">
        <references count="2">
          <reference field="4294967294" count="1" selected="0">
            <x v="1"/>
          </reference>
          <reference field="8" count="1" selected="0">
            <x v="3"/>
          </reference>
        </references>
      </pivotArea>
    </chartFormat>
    <chartFormat chart="6" format="32" series="1">
      <pivotArea type="data" outline="0" fieldPosition="0">
        <references count="2">
          <reference field="4294967294" count="1" selected="0">
            <x v="1"/>
          </reference>
          <reference field="8" count="1" selected="0">
            <x v="4"/>
          </reference>
        </references>
      </pivotArea>
    </chartFormat>
    <chartFormat chart="6" format="33" series="1">
      <pivotArea type="data" outline="0" fieldPosition="0">
        <references count="2">
          <reference field="4294967294" count="1" selected="0">
            <x v="1"/>
          </reference>
          <reference field="8" count="1" selected="0">
            <x v="5"/>
          </reference>
        </references>
      </pivotArea>
    </chartFormat>
    <chartFormat chart="6" format="34" series="1">
      <pivotArea type="data" outline="0" fieldPosition="0">
        <references count="2">
          <reference field="4294967294" count="1" selected="0">
            <x v="1"/>
          </reference>
          <reference field="8" count="1" selected="0">
            <x v="6"/>
          </reference>
        </references>
      </pivotArea>
    </chartFormat>
    <chartFormat chart="6" format="35" series="1">
      <pivotArea type="data" outline="0" fieldPosition="0">
        <references count="2">
          <reference field="4294967294" count="1" selected="0">
            <x v="1"/>
          </reference>
          <reference field="8" count="1" selected="0">
            <x v="7"/>
          </reference>
        </references>
      </pivotArea>
    </chartFormat>
    <chartFormat chart="6" format="36" series="1">
      <pivotArea type="data" outline="0" fieldPosition="0">
        <references count="2">
          <reference field="4294967294" count="1" selected="0">
            <x v="0"/>
          </reference>
          <reference field="8" count="1" selected="0">
            <x v="4"/>
          </reference>
        </references>
      </pivotArea>
    </chartFormat>
    <chartFormat chart="6" format="37" series="1">
      <pivotArea type="data" outline="0" fieldPosition="0">
        <references count="2">
          <reference field="4294967294" count="1" selected="0">
            <x v="0"/>
          </reference>
          <reference field="8" count="1" selected="0">
            <x v="5"/>
          </reference>
        </references>
      </pivotArea>
    </chartFormat>
    <chartFormat chart="6" format="38" series="1">
      <pivotArea type="data" outline="0" fieldPosition="0">
        <references count="2">
          <reference field="4294967294" count="1" selected="0">
            <x v="0"/>
          </reference>
          <reference field="8" count="1" selected="0">
            <x v="6"/>
          </reference>
        </references>
      </pivotArea>
    </chartFormat>
    <chartFormat chart="6" format="39" series="1">
      <pivotArea type="data" outline="0" fieldPosition="0">
        <references count="2">
          <reference field="4294967294" count="1" selected="0">
            <x v="0"/>
          </reference>
          <reference field="8" count="1" selected="0">
            <x v="7"/>
          </reference>
        </references>
      </pivotArea>
    </chartFormat>
    <chartFormat chart="6" format="40" series="1">
      <pivotArea type="data" grandCol="1" outline="0" fieldPosition="0">
        <references count="1">
          <reference field="4294967294" count="1" selected="0">
            <x v="0"/>
          </reference>
        </references>
      </pivotArea>
    </chartFormat>
    <chartFormat chart="6" format="41" series="1">
      <pivotArea type="data" grandCol="1" outline="0" fieldPosition="0">
        <references count="1">
          <reference field="4294967294" count="1" selected="0">
            <x v="1"/>
          </reference>
        </references>
      </pivotArea>
    </chartFormat>
    <chartFormat chart="2" format="16" series="1">
      <pivotArea type="data" grandCol="1" outline="0" fieldPosition="0">
        <references count="1">
          <reference field="4294967294" count="1" selected="0">
            <x v="0"/>
          </reference>
        </references>
      </pivotArea>
    </chartFormat>
    <chartFormat chart="2" format="17" series="1">
      <pivotArea type="data" grandCol="1"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3ECA1A-422C-4236-8DB1-3E49AFA2896E}" name="PivotTable3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1003" firstHeaderRow="1" firstDataRow="1" firstDataCol="1"/>
  <pivotFields count="11">
    <pivotField showAll="0"/>
    <pivotField numFmtId="14" showAll="0"/>
    <pivotField numFmtId="1" showAll="0">
      <items count="3">
        <item x="0"/>
        <item x="1"/>
        <item t="default"/>
      </items>
    </pivotField>
    <pivotField numFmtId="1" showAll="0"/>
    <pivotField axis="axisRow" showAll="0" sortType="descending">
      <items count="1001">
        <item x="889"/>
        <item x="153"/>
        <item x="26"/>
        <item x="392"/>
        <item x="339"/>
        <item x="302"/>
        <item x="190"/>
        <item x="138"/>
        <item x="947"/>
        <item x="755"/>
        <item x="120"/>
        <item x="825"/>
        <item x="585"/>
        <item x="39"/>
        <item x="37"/>
        <item x="123"/>
        <item x="290"/>
        <item x="317"/>
        <item x="700"/>
        <item x="841"/>
        <item x="30"/>
        <item x="783"/>
        <item x="261"/>
        <item x="901"/>
        <item x="982"/>
        <item x="756"/>
        <item x="578"/>
        <item x="293"/>
        <item x="624"/>
        <item x="819"/>
        <item x="399"/>
        <item x="8"/>
        <item x="215"/>
        <item x="979"/>
        <item x="586"/>
        <item x="486"/>
        <item x="400"/>
        <item x="206"/>
        <item x="288"/>
        <item x="480"/>
        <item x="139"/>
        <item x="124"/>
        <item x="526"/>
        <item x="130"/>
        <item x="506"/>
        <item x="492"/>
        <item x="843"/>
        <item x="370"/>
        <item x="51"/>
        <item x="643"/>
        <item x="736"/>
        <item x="171"/>
        <item x="525"/>
        <item x="107"/>
        <item x="764"/>
        <item x="422"/>
        <item x="874"/>
        <item x="860"/>
        <item x="509"/>
        <item x="803"/>
        <item x="252"/>
        <item x="988"/>
        <item x="86"/>
        <item x="54"/>
        <item x="917"/>
        <item x="308"/>
        <item x="419"/>
        <item x="108"/>
        <item x="318"/>
        <item x="135"/>
        <item x="527"/>
        <item x="401"/>
        <item x="632"/>
        <item x="883"/>
        <item x="513"/>
        <item x="221"/>
        <item x="518"/>
        <item x="502"/>
        <item x="273"/>
        <item x="939"/>
        <item x="381"/>
        <item x="983"/>
        <item x="954"/>
        <item x="899"/>
        <item x="94"/>
        <item x="851"/>
        <item x="884"/>
        <item x="231"/>
        <item x="733"/>
        <item x="340"/>
        <item x="222"/>
        <item x="646"/>
        <item x="528"/>
        <item x="386"/>
        <item x="890"/>
        <item x="963"/>
        <item x="778"/>
        <item x="294"/>
        <item x="957"/>
        <item x="465"/>
        <item x="265"/>
        <item x="68"/>
        <item x="311"/>
        <item x="40"/>
        <item x="455"/>
        <item x="555"/>
        <item x="384"/>
        <item x="82"/>
        <item x="277"/>
        <item x="792"/>
        <item x="456"/>
        <item x="278"/>
        <item x="909"/>
        <item x="697"/>
        <item x="547"/>
        <item x="894"/>
        <item x="640"/>
        <item x="193"/>
        <item x="371"/>
        <item x="191"/>
        <item x="344"/>
        <item x="784"/>
        <item x="741"/>
        <item x="367"/>
        <item x="816"/>
        <item x="597"/>
        <item x="813"/>
        <item x="550"/>
        <item x="510"/>
        <item x="295"/>
        <item x="188"/>
        <item x="708"/>
        <item x="694"/>
        <item x="122"/>
        <item x="57"/>
        <item x="152"/>
        <item x="201"/>
        <item x="875"/>
        <item x="216"/>
        <item x="952"/>
        <item x="587"/>
        <item x="833"/>
        <item x="79"/>
        <item x="540"/>
        <item x="536"/>
        <item x="834"/>
        <item x="656"/>
        <item x="724"/>
        <item x="355"/>
        <item x="768"/>
        <item x="14"/>
        <item x="953"/>
        <item x="157"/>
        <item x="955"/>
        <item x="737"/>
        <item x="382"/>
        <item x="892"/>
        <item x="487"/>
        <item x="154"/>
        <item x="423"/>
        <item x="606"/>
        <item x="210"/>
        <item x="633"/>
        <item x="3"/>
        <item x="368"/>
        <item x="698"/>
        <item x="237"/>
        <item x="703"/>
        <item x="144"/>
        <item x="870"/>
        <item x="428"/>
        <item x="891"/>
        <item x="704"/>
        <item x="852"/>
        <item x="262"/>
        <item x="202"/>
        <item x="522"/>
        <item x="219"/>
        <item x="746"/>
        <item x="727"/>
        <item x="0"/>
        <item x="839"/>
        <item x="463"/>
        <item x="687"/>
        <item x="21"/>
        <item x="155"/>
        <item x="511"/>
        <item x="444"/>
        <item x="326"/>
        <item x="69"/>
        <item x="331"/>
        <item x="793"/>
        <item x="109"/>
        <item x="116"/>
        <item x="679"/>
        <item x="87"/>
        <item x="731"/>
        <item x="173"/>
        <item x="177"/>
        <item x="913"/>
        <item x="668"/>
        <item x="761"/>
        <item x="225"/>
        <item x="372"/>
        <item x="725"/>
        <item x="845"/>
        <item x="588"/>
        <item x="279"/>
        <item x="747"/>
        <item x="966"/>
        <item x="266"/>
        <item x="998"/>
        <item x="448"/>
        <item x="551"/>
        <item x="940"/>
        <item x="902"/>
        <item x="523"/>
        <item x="613"/>
        <item x="715"/>
        <item x="631"/>
        <item x="165"/>
        <item x="345"/>
        <item x="305"/>
        <item x="80"/>
        <item x="484"/>
        <item x="23"/>
        <item x="820"/>
        <item x="769"/>
        <item x="312"/>
        <item x="821"/>
        <item x="296"/>
        <item x="9"/>
        <item x="95"/>
        <item x="993"/>
        <item x="879"/>
        <item x="73"/>
        <item x="313"/>
        <item x="84"/>
        <item x="41"/>
        <item x="471"/>
        <item x="96"/>
        <item x="713"/>
        <item x="323"/>
        <item x="402"/>
        <item x="933"/>
        <item x="680"/>
        <item x="283"/>
        <item x="748"/>
        <item x="182"/>
        <item x="798"/>
        <item x="804"/>
        <item x="663"/>
        <item x="334"/>
        <item x="664"/>
        <item x="564"/>
        <item x="247"/>
        <item x="129"/>
        <item x="131"/>
        <item x="914"/>
        <item x="601"/>
        <item x="503"/>
        <item x="589"/>
        <item x="571"/>
        <item x="657"/>
        <item x="65"/>
        <item x="943"/>
        <item x="907"/>
        <item x="896"/>
        <item x="132"/>
        <item x="76"/>
        <item x="558"/>
        <item x="485"/>
        <item x="148"/>
        <item x="349"/>
        <item x="253"/>
        <item x="248"/>
        <item x="738"/>
        <item x="625"/>
        <item x="192"/>
        <item x="590"/>
        <item x="241"/>
        <item x="403"/>
        <item x="647"/>
        <item x="350"/>
        <item x="102"/>
        <item x="617"/>
        <item x="762"/>
        <item x="133"/>
        <item x="58"/>
        <item x="904"/>
        <item x="749"/>
        <item x="18"/>
        <item x="125"/>
        <item x="324"/>
        <item x="228"/>
        <item x="565"/>
        <item x="681"/>
        <item x="676"/>
        <item x="284"/>
        <item x="556"/>
        <item x="74"/>
        <item x="226"/>
        <item x="529"/>
        <item x="4"/>
        <item x="542"/>
        <item x="373"/>
        <item x="634"/>
        <item x="415"/>
        <item x="591"/>
        <item x="973"/>
        <item x="775"/>
        <item x="918"/>
        <item x="684"/>
        <item x="207"/>
        <item x="249"/>
        <item x="425"/>
        <item x="291"/>
        <item x="70"/>
        <item x="807"/>
        <item x="752"/>
        <item x="77"/>
        <item x="451"/>
        <item x="71"/>
        <item x="59"/>
        <item x="817"/>
        <item x="672"/>
        <item x="699"/>
        <item x="728"/>
        <item x="211"/>
        <item x="72"/>
        <item x="709"/>
        <item x="110"/>
        <item x="246"/>
        <item x="88"/>
        <item x="829"/>
        <item x="85"/>
        <item x="945"/>
        <item x="320"/>
        <item x="559"/>
        <item x="166"/>
        <item x="794"/>
        <item x="346"/>
        <item x="808"/>
        <item x="830"/>
        <item x="46"/>
        <item x="862"/>
        <item x="111"/>
        <item x="579"/>
        <item x="912"/>
        <item x="814"/>
        <item x="790"/>
        <item x="720"/>
        <item x="457"/>
        <item x="364"/>
        <item x="269"/>
        <item x="934"/>
        <item x="452"/>
        <item x="327"/>
        <item x="374"/>
        <item x="548"/>
        <item x="183"/>
        <item x="941"/>
        <item x="897"/>
        <item x="431"/>
        <item x="641"/>
        <item x="458"/>
        <item x="98"/>
        <item x="11"/>
        <item x="642"/>
        <item x="866"/>
        <item x="786"/>
        <item x="136"/>
        <item x="99"/>
        <item x="742"/>
        <item x="285"/>
        <item x="705"/>
        <item x="375"/>
        <item x="184"/>
        <item x="496"/>
        <item x="89"/>
        <item x="341"/>
        <item x="519"/>
        <item x="412"/>
        <item x="212"/>
        <item x="614"/>
        <item x="754"/>
        <item x="989"/>
        <item x="434"/>
        <item x="856"/>
        <item x="908"/>
        <item x="726"/>
        <item x="12"/>
        <item x="929"/>
        <item x="770"/>
        <item x="432"/>
        <item x="922"/>
        <item x="143"/>
        <item x="185"/>
        <item x="376"/>
        <item x="161"/>
        <item x="145"/>
        <item x="771"/>
        <item x="208"/>
        <item x="389"/>
        <item x="409"/>
        <item x="844"/>
        <item x="274"/>
        <item x="491"/>
        <item x="270"/>
        <item x="959"/>
        <item x="880"/>
        <item x="377"/>
        <item x="701"/>
        <item x="688"/>
        <item x="356"/>
        <item x="62"/>
        <item x="126"/>
        <item x="881"/>
        <item x="592"/>
        <item x="395"/>
        <item x="52"/>
        <item x="5"/>
        <item x="476"/>
        <item x="181"/>
        <item x="886"/>
        <item x="369"/>
        <item x="220"/>
        <item x="618"/>
        <item x="765"/>
        <item x="990"/>
        <item x="595"/>
        <item x="785"/>
        <item x="13"/>
        <item x="156"/>
        <item x="103"/>
        <item x="967"/>
        <item x="197"/>
        <item x="757"/>
        <item x="43"/>
        <item x="520"/>
        <item x="815"/>
        <item x="766"/>
        <item x="194"/>
        <item x="602"/>
        <item x="178"/>
        <item x="49"/>
        <item x="445"/>
        <item x="514"/>
        <item x="47"/>
        <item x="507"/>
        <item x="275"/>
        <item x="956"/>
        <item x="351"/>
        <item x="930"/>
        <item x="140"/>
        <item x="504"/>
        <item x="781"/>
        <item x="566"/>
        <item x="863"/>
        <item x="209"/>
        <item x="325"/>
        <item x="223"/>
        <item x="234"/>
        <item x="573"/>
        <item x="27"/>
        <item x="238"/>
        <item x="477"/>
        <item x="572"/>
        <item x="935"/>
        <item x="352"/>
        <item x="383"/>
        <item x="217"/>
        <item x="984"/>
        <item x="149"/>
        <item x="537"/>
        <item x="44"/>
        <item x="659"/>
        <item x="300"/>
        <item x="267"/>
        <item x="644"/>
        <item x="497"/>
        <item x="440"/>
        <item x="309"/>
        <item x="303"/>
        <item x="28"/>
        <item x="915"/>
        <item x="254"/>
        <item x="552"/>
        <item x="470"/>
        <item x="404"/>
        <item x="90"/>
        <item x="405"/>
        <item x="498"/>
        <item x="893"/>
        <item x="710"/>
        <item x="553"/>
        <item x="950"/>
        <item x="739"/>
        <item x="472"/>
        <item x="34"/>
        <item x="162"/>
        <item x="365"/>
        <item x="239"/>
        <item x="811"/>
        <item x="378"/>
        <item x="45"/>
        <item x="150"/>
        <item x="835"/>
        <item x="607"/>
        <item x="493"/>
        <item x="453"/>
        <item x="609"/>
        <item x="846"/>
        <item x="711"/>
        <item x="163"/>
        <item x="541"/>
        <item x="805"/>
        <item x="250"/>
        <item x="360"/>
        <item x="53"/>
        <item x="994"/>
        <item x="610"/>
        <item x="1"/>
        <item x="718"/>
        <item x="743"/>
        <item x="960"/>
        <item x="942"/>
        <item x="260"/>
        <item x="515"/>
        <item x="603"/>
        <item x="91"/>
        <item x="927"/>
        <item x="473"/>
        <item x="869"/>
        <item x="454"/>
        <item x="923"/>
        <item x="172"/>
        <item x="433"/>
        <item x="706"/>
        <item x="446"/>
        <item x="931"/>
        <item x="569"/>
        <item x="467"/>
        <item x="560"/>
        <item x="974"/>
        <item x="426"/>
        <item x="772"/>
        <item x="179"/>
        <item x="255"/>
        <item x="581"/>
        <item x="928"/>
        <item x="530"/>
        <item x="948"/>
        <item x="233"/>
        <item x="858"/>
        <item x="795"/>
        <item x="435"/>
        <item x="561"/>
        <item x="759"/>
        <item x="2"/>
        <item x="438"/>
        <item x="416"/>
        <item x="276"/>
        <item x="604"/>
        <item x="809"/>
        <item x="847"/>
        <item x="910"/>
        <item x="462"/>
        <item x="652"/>
        <item x="619"/>
        <item x="620"/>
        <item x="946"/>
        <item x="286"/>
        <item x="712"/>
        <item x="665"/>
        <item x="230"/>
        <item x="916"/>
        <item x="117"/>
        <item x="413"/>
        <item x="714"/>
        <item x="924"/>
        <item x="882"/>
        <item x="864"/>
        <item x="478"/>
        <item x="127"/>
        <item x="321"/>
        <item x="944"/>
        <item x="447"/>
        <item x="306"/>
        <item x="263"/>
        <item x="195"/>
        <item x="29"/>
        <item x="55"/>
        <item x="342"/>
        <item x="669"/>
        <item x="853"/>
        <item x="100"/>
        <item x="638"/>
        <item x="574"/>
        <item x="877"/>
        <item x="800"/>
        <item x="258"/>
        <item x="975"/>
        <item x="538"/>
        <item x="695"/>
        <item x="554"/>
        <item x="335"/>
        <item x="196"/>
        <item x="911"/>
        <item x="964"/>
        <item x="7"/>
        <item x="146"/>
        <item x="593"/>
        <item x="297"/>
        <item x="235"/>
        <item x="976"/>
        <item x="717"/>
        <item x="649"/>
        <item x="60"/>
        <item x="779"/>
        <item x="353"/>
        <item x="170"/>
        <item x="639"/>
        <item x="186"/>
        <item x="650"/>
        <item x="932"/>
        <item x="729"/>
        <item x="782"/>
        <item x="831"/>
        <item x="460"/>
        <item x="621"/>
        <item x="857"/>
        <item x="702"/>
        <item x="596"/>
        <item x="760"/>
        <item x="623"/>
        <item x="218"/>
        <item x="670"/>
        <item x="627"/>
        <item x="362"/>
        <item x="347"/>
        <item x="887"/>
        <item x="396"/>
        <item x="719"/>
        <item x="682"/>
        <item x="871"/>
        <item x="328"/>
        <item x="393"/>
        <item x="615"/>
        <item x="106"/>
        <item x="999"/>
        <item x="417"/>
        <item x="322"/>
        <item x="390"/>
        <item x="479"/>
        <item x="461"/>
        <item x="750"/>
        <item x="112"/>
        <item x="189"/>
        <item x="199"/>
        <item x="314"/>
        <item x="539"/>
        <item x="972"/>
        <item x="203"/>
        <item x="991"/>
        <item x="287"/>
        <item x="81"/>
        <item x="575"/>
        <item x="567"/>
        <item x="474"/>
        <item x="753"/>
        <item x="653"/>
        <item x="576"/>
        <item x="78"/>
        <item x="271"/>
        <item x="582"/>
        <item x="543"/>
        <item x="818"/>
        <item x="977"/>
        <item x="24"/>
        <item x="801"/>
        <item x="531"/>
        <item x="673"/>
        <item x="10"/>
        <item x="500"/>
        <item x="429"/>
        <item x="544"/>
        <item x="580"/>
        <item x="744"/>
        <item x="758"/>
        <item x="842"/>
        <item x="298"/>
        <item x="685"/>
        <item x="299"/>
        <item x="391"/>
        <item x="611"/>
        <item x="683"/>
        <item x="35"/>
        <item x="545"/>
        <item x="481"/>
        <item x="936"/>
        <item x="951"/>
        <item x="562"/>
        <item x="227"/>
        <item x="658"/>
        <item x="180"/>
        <item x="867"/>
        <item x="734"/>
        <item x="31"/>
        <item x="546"/>
        <item x="826"/>
        <item x="787"/>
        <item x="925"/>
        <item x="32"/>
        <item x="115"/>
        <item x="895"/>
        <item x="598"/>
        <item x="187"/>
        <item x="648"/>
        <item x="242"/>
        <item x="61"/>
        <item x="366"/>
        <item x="532"/>
        <item x="468"/>
        <item x="280"/>
        <item x="635"/>
        <item x="469"/>
        <item x="482"/>
        <item x="533"/>
        <item x="406"/>
        <item x="583"/>
        <item x="358"/>
        <item x="113"/>
        <item x="660"/>
        <item x="22"/>
        <item x="751"/>
        <item x="63"/>
        <item x="499"/>
        <item x="304"/>
        <item x="903"/>
        <item x="92"/>
        <item x="905"/>
        <item x="48"/>
        <item x="38"/>
        <item x="348"/>
        <item x="268"/>
        <item x="25"/>
        <item x="868"/>
        <item x="204"/>
        <item x="329"/>
        <item x="174"/>
        <item x="666"/>
        <item x="937"/>
        <item x="158"/>
        <item x="788"/>
        <item x="292"/>
        <item x="654"/>
        <item x="981"/>
        <item x="361"/>
        <item x="516"/>
        <item x="229"/>
        <item x="848"/>
        <item x="849"/>
        <item x="159"/>
        <item x="224"/>
        <item x="449"/>
        <item x="151"/>
        <item x="810"/>
        <item x="33"/>
        <item x="450"/>
        <item x="802"/>
        <item x="949"/>
        <item x="524"/>
        <item x="549"/>
        <item x="264"/>
        <item x="104"/>
        <item x="827"/>
        <item x="968"/>
        <item x="876"/>
        <item x="336"/>
        <item x="141"/>
        <item x="978"/>
        <item x="436"/>
        <item x="958"/>
        <item x="840"/>
        <item x="167"/>
        <item x="791"/>
        <item x="50"/>
        <item x="495"/>
        <item x="732"/>
        <item x="599"/>
        <item x="919"/>
        <item x="521"/>
        <item x="93"/>
        <item x="707"/>
        <item x="900"/>
        <item x="488"/>
        <item x="16"/>
        <item x="584"/>
        <item x="689"/>
        <item x="147"/>
        <item x="605"/>
        <item x="512"/>
        <item x="885"/>
        <item x="645"/>
        <item x="995"/>
        <item x="205"/>
        <item x="608"/>
        <item x="236"/>
        <item x="721"/>
        <item x="906"/>
        <item x="387"/>
        <item x="859"/>
        <item x="745"/>
        <item x="677"/>
        <item x="655"/>
        <item x="612"/>
        <item x="828"/>
        <item x="385"/>
        <item x="464"/>
        <item x="343"/>
        <item x="121"/>
        <item x="407"/>
        <item x="628"/>
        <item x="337"/>
        <item x="651"/>
        <item x="796"/>
        <item x="854"/>
        <item x="938"/>
        <item x="534"/>
        <item x="483"/>
        <item x="36"/>
        <item x="696"/>
        <item x="466"/>
        <item x="243"/>
        <item x="686"/>
        <item x="281"/>
        <item x="505"/>
        <item x="363"/>
        <item x="489"/>
        <item x="408"/>
        <item x="836"/>
        <item x="985"/>
        <item x="397"/>
        <item x="776"/>
        <item x="15"/>
        <item x="716"/>
        <item x="251"/>
        <item x="118"/>
        <item x="332"/>
        <item x="568"/>
        <item x="690"/>
        <item x="777"/>
        <item x="333"/>
        <item x="969"/>
        <item x="671"/>
        <item x="898"/>
        <item x="997"/>
        <item x="691"/>
        <item x="626"/>
        <item x="20"/>
        <item x="128"/>
        <item x="424"/>
        <item x="301"/>
        <item x="563"/>
        <item x="971"/>
        <item x="338"/>
        <item x="441"/>
        <item x="926"/>
        <item x="812"/>
        <item x="517"/>
        <item x="667"/>
        <item x="773"/>
        <item x="730"/>
        <item x="494"/>
        <item x="594"/>
        <item x="763"/>
        <item x="475"/>
        <item x="501"/>
        <item x="986"/>
        <item x="636"/>
        <item x="388"/>
        <item x="442"/>
        <item x="357"/>
        <item x="315"/>
        <item x="168"/>
        <item x="256"/>
        <item x="459"/>
        <item x="169"/>
        <item x="740"/>
        <item x="970"/>
        <item x="244"/>
        <item x="257"/>
        <item x="289"/>
        <item x="678"/>
        <item x="398"/>
        <item x="822"/>
        <item x="723"/>
        <item x="837"/>
        <item x="410"/>
        <item x="137"/>
        <item x="259"/>
        <item x="427"/>
        <item x="310"/>
        <item x="508"/>
        <item x="240"/>
        <item x="437"/>
        <item x="19"/>
        <item x="996"/>
        <item x="735"/>
        <item x="175"/>
        <item x="394"/>
        <item x="56"/>
        <item x="66"/>
        <item x="774"/>
        <item x="420"/>
        <item x="980"/>
        <item x="176"/>
        <item x="888"/>
        <item x="692"/>
        <item x="142"/>
        <item x="17"/>
        <item x="799"/>
        <item x="414"/>
        <item x="661"/>
        <item x="675"/>
        <item x="616"/>
        <item x="490"/>
        <item x="245"/>
        <item x="64"/>
        <item x="359"/>
        <item x="674"/>
        <item x="160"/>
        <item x="83"/>
        <item x="557"/>
        <item x="693"/>
        <item x="101"/>
        <item x="806"/>
        <item x="878"/>
        <item x="961"/>
        <item x="67"/>
        <item x="200"/>
        <item x="198"/>
        <item x="789"/>
        <item x="439"/>
        <item x="119"/>
        <item x="354"/>
        <item x="164"/>
        <item x="780"/>
        <item x="577"/>
        <item x="850"/>
        <item x="838"/>
        <item x="861"/>
        <item x="307"/>
        <item x="722"/>
        <item x="535"/>
        <item x="629"/>
        <item x="622"/>
        <item x="430"/>
        <item x="823"/>
        <item x="600"/>
        <item x="443"/>
        <item x="797"/>
        <item x="865"/>
        <item x="75"/>
        <item x="855"/>
        <item x="134"/>
        <item x="272"/>
        <item x="872"/>
        <item x="282"/>
        <item x="379"/>
        <item x="920"/>
        <item x="114"/>
        <item x="213"/>
        <item x="330"/>
        <item x="232"/>
        <item x="767"/>
        <item x="105"/>
        <item x="214"/>
        <item x="6"/>
        <item x="570"/>
        <item x="630"/>
        <item x="965"/>
        <item x="832"/>
        <item x="662"/>
        <item x="421"/>
        <item x="42"/>
        <item x="316"/>
        <item x="418"/>
        <item x="992"/>
        <item x="411"/>
        <item x="987"/>
        <item x="637"/>
        <item x="97"/>
        <item x="962"/>
        <item x="319"/>
        <item x="380"/>
        <item x="873"/>
        <item x="824"/>
        <item x="921"/>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1" showAll="0"/>
    <pivotField numFmtId="2" showAll="0"/>
    <pivotField numFmtId="2" showAll="0"/>
  </pivotFields>
  <rowFields count="1">
    <field x="4"/>
  </rowFields>
  <rowItems count="1000">
    <i>
      <x v="664"/>
    </i>
    <i>
      <x v="690"/>
    </i>
    <i>
      <x v="656"/>
    </i>
    <i>
      <x v="660"/>
    </i>
    <i>
      <x v="662"/>
    </i>
    <i>
      <x v="661"/>
    </i>
    <i>
      <x v="655"/>
    </i>
    <i>
      <x v="653"/>
    </i>
    <i>
      <x v="652"/>
    </i>
    <i>
      <x v="663"/>
    </i>
    <i>
      <x v="658"/>
    </i>
    <i>
      <x v="654"/>
    </i>
    <i>
      <x v="657"/>
    </i>
    <i>
      <x v="943"/>
    </i>
    <i>
      <x v="669"/>
    </i>
    <i>
      <x v="828"/>
    </i>
    <i>
      <x v="682"/>
    </i>
    <i>
      <x v="917"/>
    </i>
    <i>
      <x v="686"/>
    </i>
    <i>
      <x v="975"/>
    </i>
    <i>
      <x v="688"/>
    </i>
    <i>
      <x v="839"/>
    </i>
    <i>
      <x v="860"/>
    </i>
    <i>
      <x v="875"/>
    </i>
    <i>
      <x v="888"/>
    </i>
    <i>
      <x v="696"/>
    </i>
    <i>
      <x v="931"/>
    </i>
    <i>
      <x v="699"/>
    </i>
    <i>
      <x v="965"/>
    </i>
    <i>
      <x v="700"/>
    </i>
    <i>
      <x v="820"/>
    </i>
    <i>
      <x v="706"/>
    </i>
    <i>
      <x v="832"/>
    </i>
    <i>
      <x v="715"/>
    </i>
    <i>
      <x v="847"/>
    </i>
    <i>
      <x v="716"/>
    </i>
    <i>
      <x v="870"/>
    </i>
    <i>
      <x v="723"/>
    </i>
    <i>
      <x v="885"/>
    </i>
    <i>
      <x v="726"/>
    </i>
    <i>
      <x v="903"/>
    </i>
    <i>
      <x v="729"/>
    </i>
    <i>
      <x v="928"/>
    </i>
    <i>
      <x v="731"/>
    </i>
    <i>
      <x v="936"/>
    </i>
    <i>
      <x v="735"/>
    </i>
    <i>
      <x v="957"/>
    </i>
    <i>
      <x v="736"/>
    </i>
    <i>
      <x v="971"/>
    </i>
    <i>
      <x v="740"/>
    </i>
    <i>
      <x v="817"/>
    </i>
    <i>
      <x v="742"/>
    </i>
    <i>
      <x v="824"/>
    </i>
    <i>
      <x v="743"/>
    </i>
    <i>
      <x v="831"/>
    </i>
    <i>
      <x v="754"/>
    </i>
    <i>
      <x v="835"/>
    </i>
    <i>
      <x v="756"/>
    </i>
    <i>
      <x v="841"/>
    </i>
    <i>
      <x v="757"/>
    </i>
    <i>
      <x v="856"/>
    </i>
    <i>
      <x v="758"/>
    </i>
    <i>
      <x v="862"/>
    </i>
    <i>
      <x v="765"/>
    </i>
    <i>
      <x v="873"/>
    </i>
    <i>
      <x v="769"/>
    </i>
    <i>
      <x v="876"/>
    </i>
    <i>
      <x v="773"/>
    </i>
    <i>
      <x v="887"/>
    </i>
    <i>
      <x v="775"/>
    </i>
    <i>
      <x v="895"/>
    </i>
    <i>
      <x v="778"/>
    </i>
    <i>
      <x v="908"/>
    </i>
    <i>
      <x v="785"/>
    </i>
    <i>
      <x v="927"/>
    </i>
    <i>
      <x v="786"/>
    </i>
    <i>
      <x v="930"/>
    </i>
    <i>
      <x v="789"/>
    </i>
    <i>
      <x v="932"/>
    </i>
    <i>
      <x v="796"/>
    </i>
    <i>
      <x v="938"/>
    </i>
    <i>
      <x v="800"/>
    </i>
    <i>
      <x v="946"/>
    </i>
    <i>
      <x v="801"/>
    </i>
    <i>
      <x v="961"/>
    </i>
    <i>
      <x v="803"/>
    </i>
    <i>
      <x v="970"/>
    </i>
    <i>
      <x v="807"/>
    </i>
    <i>
      <x v="972"/>
    </i>
    <i>
      <x v="808"/>
    </i>
    <i>
      <x v="998"/>
    </i>
    <i>
      <x v="810"/>
    </i>
    <i>
      <x v="833"/>
    </i>
    <i>
      <x v="598"/>
    </i>
    <i>
      <x v="546"/>
    </i>
    <i>
      <x v="341"/>
    </i>
    <i>
      <x v="406"/>
    </i>
    <i>
      <x v="578"/>
    </i>
    <i>
      <x v="411"/>
    </i>
    <i>
      <x v="633"/>
    </i>
    <i>
      <x v="412"/>
    </i>
    <i>
      <x v="524"/>
    </i>
    <i>
      <x v="414"/>
    </i>
    <i>
      <x v="561"/>
    </i>
    <i>
      <x v="416"/>
    </i>
    <i>
      <x v="591"/>
    </i>
    <i>
      <x v="420"/>
    </i>
    <i>
      <x v="619"/>
    </i>
    <i>
      <x v="424"/>
    </i>
    <i>
      <x v="642"/>
    </i>
    <i>
      <x v="425"/>
    </i>
    <i>
      <x v="360"/>
    </i>
    <i>
      <x v="428"/>
    </i>
    <i>
      <x v="532"/>
    </i>
    <i>
      <x v="431"/>
    </i>
    <i>
      <x v="553"/>
    </i>
    <i>
      <x v="433"/>
    </i>
    <i>
      <x v="572"/>
    </i>
    <i>
      <x v="436"/>
    </i>
    <i>
      <x v="584"/>
    </i>
    <i>
      <x v="437"/>
    </i>
    <i>
      <x v="595"/>
    </i>
    <i>
      <x v="441"/>
    </i>
    <i>
      <x v="614"/>
    </i>
    <i>
      <x v="442"/>
    </i>
    <i>
      <x v="628"/>
    </i>
    <i>
      <x v="447"/>
    </i>
    <i>
      <x v="639"/>
    </i>
    <i>
      <x v="449"/>
    </i>
    <i>
      <x v="648"/>
    </i>
    <i>
      <x v="455"/>
    </i>
    <i>
      <x v="342"/>
    </i>
    <i>
      <x v="458"/>
    </i>
    <i>
      <x v="368"/>
    </i>
    <i>
      <x v="459"/>
    </i>
    <i>
      <x v="530"/>
    </i>
    <i>
      <x v="462"/>
    </i>
    <i>
      <x v="536"/>
    </i>
    <i>
      <x v="466"/>
    </i>
    <i>
      <x v="547"/>
    </i>
    <i>
      <x v="476"/>
    </i>
    <i>
      <x v="559"/>
    </i>
    <i>
      <x v="477"/>
    </i>
    <i>
      <x v="569"/>
    </i>
    <i>
      <x v="479"/>
    </i>
    <i>
      <x v="577"/>
    </i>
    <i>
      <x v="480"/>
    </i>
    <i>
      <x v="583"/>
    </i>
    <i>
      <x v="481"/>
    </i>
    <i>
      <x v="587"/>
    </i>
    <i>
      <x v="482"/>
    </i>
    <i>
      <x v="592"/>
    </i>
    <i>
      <x v="484"/>
    </i>
    <i>
      <x v="597"/>
    </i>
    <i>
      <x v="487"/>
    </i>
    <i>
      <x v="604"/>
    </i>
    <i>
      <x v="492"/>
    </i>
    <i>
      <x v="615"/>
    </i>
    <i>
      <x v="494"/>
    </i>
    <i>
      <x v="626"/>
    </i>
    <i>
      <x v="497"/>
    </i>
    <i>
      <x v="632"/>
    </i>
    <i>
      <x v="498"/>
    </i>
    <i>
      <x v="634"/>
    </i>
    <i>
      <x v="503"/>
    </i>
    <i>
      <x v="640"/>
    </i>
    <i>
      <x v="510"/>
    </i>
    <i>
      <x v="645"/>
    </i>
    <i>
      <x v="513"/>
    </i>
    <i>
      <x v="340"/>
    </i>
    <i>
      <x v="335"/>
    </i>
    <i>
      <x v="400"/>
    </i>
    <i>
      <x v="354"/>
    </i>
    <i>
      <x v="405"/>
    </i>
    <i>
      <x v="381"/>
    </i>
    <i>
      <x v="517"/>
    </i>
    <i>
      <x v="659"/>
    </i>
    <i>
      <x v="519"/>
    </i>
    <i>
      <x v="361"/>
    </i>
    <i>
      <x v="520"/>
    </i>
    <i>
      <x v="377"/>
    </i>
    <i>
      <x v="521"/>
    </i>
    <i>
      <x v="516"/>
    </i>
    <i>
      <x v="500"/>
    </i>
    <i>
      <x v="257"/>
    </i>
    <i>
      <x v="175"/>
    </i>
    <i>
      <x v="300"/>
    </i>
    <i>
      <x v="7"/>
    </i>
    <i>
      <x v="208"/>
    </i>
    <i>
      <x v="9"/>
    </i>
    <i>
      <x v="281"/>
    </i>
    <i>
      <x v="13"/>
    </i>
    <i>
      <x v="330"/>
    </i>
    <i>
      <x v="14"/>
    </i>
    <i>
      <x v="186"/>
    </i>
    <i>
      <x v="16"/>
    </i>
    <i>
      <x v="222"/>
    </i>
    <i>
      <x v="22"/>
    </i>
    <i>
      <x v="271"/>
    </i>
    <i>
      <x v="30"/>
    </i>
    <i>
      <x v="288"/>
    </i>
    <i>
      <x v="37"/>
    </i>
    <i>
      <x v="312"/>
    </i>
    <i>
      <x v="38"/>
    </i>
    <i>
      <x v="165"/>
    </i>
    <i>
      <x v="45"/>
    </i>
    <i>
      <x v="182"/>
    </i>
    <i>
      <x v="54"/>
    </i>
    <i>
      <x v="197"/>
    </i>
    <i>
      <x v="57"/>
    </i>
    <i>
      <x v="210"/>
    </i>
    <i>
      <x v="60"/>
    </i>
    <i>
      <x v="251"/>
    </i>
    <i>
      <x v="63"/>
    </i>
    <i>
      <x v="262"/>
    </i>
    <i>
      <x v="64"/>
    </i>
    <i>
      <x v="277"/>
    </i>
    <i>
      <x v="66"/>
    </i>
    <i>
      <x v="284"/>
    </i>
    <i>
      <x v="70"/>
    </i>
    <i>
      <x v="296"/>
    </i>
    <i>
      <x v="71"/>
    </i>
    <i>
      <x v="308"/>
    </i>
    <i>
      <x v="73"/>
    </i>
    <i>
      <x v="320"/>
    </i>
    <i>
      <x v="74"/>
    </i>
    <i>
      <x v="333"/>
    </i>
    <i>
      <x v="81"/>
    </i>
    <i>
      <x v="173"/>
    </i>
    <i>
      <x v="88"/>
    </i>
    <i>
      <x v="181"/>
    </i>
    <i>
      <x v="91"/>
    </i>
    <i>
      <x v="184"/>
    </i>
    <i>
      <x v="92"/>
    </i>
    <i>
      <x v="194"/>
    </i>
    <i>
      <x v="98"/>
    </i>
    <i>
      <x v="202"/>
    </i>
    <i>
      <x v="100"/>
    </i>
    <i>
      <x v="209"/>
    </i>
    <i>
      <x v="107"/>
    </i>
    <i>
      <x v="217"/>
    </i>
    <i>
      <x v="109"/>
    </i>
    <i>
      <x v="225"/>
    </i>
    <i>
      <x v="114"/>
    </i>
    <i>
      <x v="253"/>
    </i>
    <i>
      <x v="118"/>
    </i>
    <i>
      <x v="259"/>
    </i>
    <i>
      <x v="121"/>
    </i>
    <i>
      <x v="269"/>
    </i>
    <i>
      <x v="122"/>
    </i>
    <i>
      <x v="276"/>
    </i>
    <i>
      <x v="124"/>
    </i>
    <i>
      <x v="278"/>
    </i>
    <i>
      <x v="132"/>
    </i>
    <i>
      <x v="282"/>
    </i>
    <i>
      <x v="138"/>
    </i>
    <i>
      <x v="287"/>
    </i>
    <i>
      <x v="139"/>
    </i>
    <i>
      <x v="292"/>
    </i>
    <i>
      <x v="142"/>
    </i>
    <i>
      <x v="298"/>
    </i>
    <i>
      <x v="146"/>
    </i>
    <i>
      <x v="301"/>
    </i>
    <i>
      <x v="150"/>
    </i>
    <i>
      <x v="311"/>
    </i>
    <i>
      <x v="152"/>
    </i>
    <i>
      <x v="314"/>
    </i>
    <i>
      <x v="155"/>
    </i>
    <i>
      <x v="329"/>
    </i>
    <i>
      <x v="156"/>
    </i>
    <i>
      <x v="332"/>
    </i>
    <i>
      <x v="157"/>
    </i>
    <i>
      <x v="159"/>
    </i>
    <i>
      <x v="166"/>
    </i>
    <i>
      <x v="671"/>
    </i>
    <i>
      <x v="886"/>
    </i>
    <i>
      <x v="993"/>
    </i>
    <i>
      <x v="750"/>
    </i>
    <i>
      <x v="913"/>
    </i>
    <i>
      <x v="755"/>
    </i>
    <i>
      <x v="969"/>
    </i>
    <i>
      <x v="673"/>
    </i>
    <i>
      <x v="872"/>
    </i>
    <i>
      <x v="691"/>
    </i>
    <i>
      <x v="898"/>
    </i>
    <i>
      <x v="693"/>
    </i>
    <i>
      <x v="921"/>
    </i>
    <i>
      <x v="766"/>
    </i>
    <i>
      <x v="954"/>
    </i>
    <i>
      <x v="767"/>
    </i>
    <i>
      <x v="980"/>
    </i>
    <i>
      <x v="768"/>
    </i>
    <i>
      <x v="720"/>
    </i>
    <i>
      <x v="695"/>
    </i>
    <i>
      <x v="680"/>
    </i>
    <i>
      <x v="776"/>
    </i>
    <i>
      <x v="891"/>
    </i>
    <i>
      <x v="777"/>
    </i>
    <i>
      <x v="911"/>
    </i>
    <i>
      <x v="782"/>
    </i>
    <i>
      <x v="918"/>
    </i>
    <i>
      <x v="788"/>
    </i>
    <i>
      <x v="929"/>
    </i>
    <i>
      <x v="676"/>
    </i>
    <i>
      <x v="950"/>
    </i>
    <i>
      <x v="797"/>
    </i>
    <i>
      <x v="964"/>
    </i>
    <i>
      <x v="704"/>
    </i>
    <i>
      <x v="977"/>
    </i>
    <i>
      <x v="805"/>
    </i>
    <i>
      <x v="987"/>
    </i>
    <i>
      <x v="806"/>
    </i>
    <i>
      <x v="748"/>
    </i>
    <i>
      <x v="677"/>
    </i>
    <i>
      <x v="869"/>
    </i>
    <i>
      <x v="812"/>
    </i>
    <i>
      <x v="999"/>
    </i>
    <i>
      <x v="813"/>
    </i>
    <i>
      <x v="724"/>
    </i>
    <i>
      <x v="815"/>
    </i>
    <i>
      <x v="727"/>
    </i>
    <i>
      <x v="708"/>
    </i>
    <i>
      <x v="728"/>
    </i>
    <i>
      <x v="822"/>
    </i>
    <i>
      <x v="910"/>
    </i>
    <i>
      <x v="710"/>
    </i>
    <i>
      <x v="912"/>
    </i>
    <i>
      <x v="827"/>
    </i>
    <i>
      <x v="915"/>
    </i>
    <i>
      <x v="711"/>
    </i>
    <i>
      <x v="920"/>
    </i>
    <i>
      <x v="829"/>
    </i>
    <i>
      <x v="923"/>
    </i>
    <i>
      <x v="830"/>
    </i>
    <i>
      <x v="942"/>
    </i>
    <i>
      <x v="713"/>
    </i>
    <i>
      <x v="948"/>
    </i>
    <i>
      <x v="668"/>
    </i>
    <i>
      <x v="953"/>
    </i>
    <i>
      <x v="837"/>
    </i>
    <i>
      <x v="956"/>
    </i>
    <i>
      <x v="678"/>
    </i>
    <i>
      <x v="968"/>
    </i>
    <i>
      <x v="679"/>
    </i>
    <i>
      <x v="746"/>
    </i>
    <i>
      <x v="843"/>
    </i>
    <i>
      <x v="978"/>
    </i>
    <i>
      <x v="844"/>
    </i>
    <i>
      <x v="982"/>
    </i>
    <i>
      <x v="848"/>
    </i>
    <i>
      <x v="988"/>
    </i>
    <i>
      <x v="718"/>
    </i>
    <i>
      <x v="997"/>
    </i>
    <i>
      <x v="859"/>
    </i>
    <i>
      <x v="861"/>
    </i>
    <i>
      <x v="722"/>
    </i>
    <i>
      <x v="421"/>
    </i>
    <i>
      <x v="607"/>
    </i>
    <i>
      <x v="567"/>
    </i>
    <i>
      <x v="439"/>
    </i>
    <i>
      <x v="624"/>
    </i>
    <i>
      <x v="336"/>
    </i>
    <i>
      <x v="430"/>
    </i>
    <i>
      <x v="444"/>
    </i>
    <i>
      <x v="590"/>
    </i>
    <i>
      <x v="452"/>
    </i>
    <i>
      <x v="413"/>
    </i>
    <i>
      <x v="457"/>
    </i>
    <i>
      <x v="417"/>
    </i>
    <i>
      <x v="463"/>
    </i>
    <i>
      <x v="646"/>
    </i>
    <i>
      <x v="465"/>
    </i>
    <i>
      <x v="665"/>
    </i>
    <i>
      <x v="467"/>
    </i>
    <i>
      <x v="580"/>
    </i>
    <i>
      <x v="469"/>
    </i>
    <i>
      <x v="409"/>
    </i>
    <i>
      <x v="471"/>
    </i>
    <i>
      <x v="611"/>
    </i>
    <i>
      <x v="472"/>
    </i>
    <i>
      <x v="622"/>
    </i>
    <i>
      <x v="474"/>
    </i>
    <i>
      <x v="631"/>
    </i>
    <i>
      <x v="475"/>
    </i>
    <i>
      <x v="636"/>
    </i>
    <i>
      <x v="369"/>
    </i>
    <i>
      <x v="644"/>
    </i>
    <i>
      <x v="372"/>
    </i>
    <i>
      <x v="651"/>
    </i>
    <i>
      <x v="374"/>
    </i>
    <i>
      <x v="357"/>
    </i>
    <i>
      <x v="488"/>
    </i>
    <i>
      <x v="557"/>
    </i>
    <i>
      <x v="490"/>
    </i>
    <i>
      <x v="576"/>
    </i>
    <i>
      <x v="491"/>
    </i>
    <i>
      <x v="582"/>
    </i>
    <i>
      <x v="334"/>
    </i>
    <i>
      <x v="407"/>
    </i>
    <i>
      <x v="502"/>
    </i>
    <i>
      <x v="603"/>
    </i>
    <i>
      <x v="504"/>
    </i>
    <i>
      <x v="608"/>
    </i>
    <i>
      <x v="506"/>
    </i>
    <i>
      <x v="613"/>
    </i>
    <i>
      <x v="507"/>
    </i>
    <i>
      <x v="620"/>
    </i>
    <i>
      <x v="509"/>
    </i>
    <i>
      <x v="623"/>
    </i>
    <i>
      <x v="383"/>
    </i>
    <i>
      <x v="350"/>
    </i>
    <i>
      <x v="515"/>
    </i>
    <i>
      <x v="351"/>
    </i>
    <i>
      <x v="385"/>
    </i>
    <i>
      <x v="635"/>
    </i>
    <i>
      <x v="522"/>
    </i>
    <i>
      <x v="419"/>
    </i>
    <i>
      <x v="529"/>
    </i>
    <i>
      <x v="643"/>
    </i>
    <i>
      <x v="533"/>
    </i>
    <i>
      <x v="422"/>
    </i>
    <i>
      <x v="535"/>
    </i>
    <i>
      <x v="647"/>
    </i>
    <i>
      <x v="538"/>
    </i>
    <i>
      <x v="426"/>
    </i>
    <i>
      <x v="540"/>
    </i>
    <i>
      <x v="356"/>
    </i>
    <i>
      <x v="550"/>
    </i>
    <i>
      <x v="435"/>
    </i>
    <i>
      <x v="551"/>
    </i>
    <i>
      <x v="666"/>
    </i>
    <i>
      <x v="554"/>
    </i>
    <i>
      <x v="552"/>
    </i>
    <i>
      <x v="19"/>
    </i>
    <i>
      <x v="219"/>
    </i>
    <i>
      <x v="200"/>
    </i>
    <i>
      <x v="108"/>
    </i>
    <i>
      <x v="248"/>
    </i>
    <i>
      <x v="110"/>
    </i>
    <i>
      <x v="84"/>
    </i>
    <i>
      <x v="111"/>
    </i>
    <i>
      <x v="212"/>
    </i>
    <i>
      <x v="112"/>
    </i>
    <i>
      <x v="239"/>
    </i>
    <i>
      <x v="29"/>
    </i>
    <i>
      <x v="267"/>
    </i>
    <i>
      <x v="115"/>
    </i>
    <i>
      <x v="77"/>
    </i>
    <i>
      <x v="119"/>
    </i>
    <i>
      <x v="324"/>
    </i>
    <i>
      <x v="31"/>
    </i>
    <i>
      <x v="55"/>
    </i>
    <i>
      <x v="33"/>
    </i>
    <i>
      <x v="215"/>
    </i>
    <i>
      <x v="126"/>
    </i>
    <i>
      <x v="229"/>
    </i>
    <i>
      <x v="34"/>
    </i>
    <i>
      <x v="243"/>
    </i>
    <i>
      <x v="133"/>
    </i>
    <i>
      <x v="264"/>
    </i>
    <i>
      <x v="35"/>
    </i>
    <i>
      <x v="280"/>
    </i>
    <i>
      <x v="36"/>
    </i>
    <i>
      <x v="294"/>
    </i>
    <i>
      <x v="144"/>
    </i>
    <i>
      <x v="83"/>
    </i>
    <i>
      <x v="145"/>
    </i>
    <i>
      <x v="85"/>
    </i>
    <i>
      <x v="149"/>
    </i>
    <i>
      <x v="327"/>
    </i>
    <i>
      <x v="154"/>
    </i>
    <i>
      <x v="11"/>
    </i>
    <i>
      <x v="41"/>
    </i>
    <i>
      <x v="12"/>
    </i>
    <i>
      <x v="163"/>
    </i>
    <i>
      <x v="213"/>
    </i>
    <i>
      <x v="164"/>
    </i>
    <i>
      <x v="218"/>
    </i>
    <i>
      <x/>
    </i>
    <i>
      <x v="59"/>
    </i>
    <i>
      <x v="167"/>
    </i>
    <i>
      <x v="231"/>
    </i>
    <i>
      <x v="169"/>
    </i>
    <i>
      <x v="241"/>
    </i>
    <i>
      <x v="171"/>
    </i>
    <i>
      <x v="245"/>
    </i>
    <i>
      <x v="46"/>
    </i>
    <i>
      <x v="15"/>
    </i>
    <i>
      <x v="47"/>
    </i>
    <i>
      <x v="265"/>
    </i>
    <i>
      <x v="180"/>
    </i>
    <i>
      <x v="68"/>
    </i>
    <i>
      <x v="49"/>
    </i>
    <i>
      <x v="72"/>
    </i>
    <i>
      <x v="183"/>
    </i>
    <i>
      <x v="293"/>
    </i>
    <i>
      <x v="50"/>
    </i>
    <i>
      <x v="295"/>
    </i>
    <i>
      <x v="188"/>
    </i>
    <i>
      <x v="303"/>
    </i>
    <i>
      <x v="190"/>
    </i>
    <i>
      <x v="313"/>
    </i>
    <i>
      <x v="193"/>
    </i>
    <i>
      <x v="317"/>
    </i>
    <i>
      <x v="196"/>
    </i>
    <i>
      <x v="323"/>
    </i>
    <i>
      <x v="53"/>
    </i>
    <i>
      <x v="326"/>
    </i>
    <i>
      <x v="198"/>
    </i>
    <i>
      <x v="331"/>
    </i>
    <i>
      <x v="199"/>
    </i>
    <i>
      <x v="211"/>
    </i>
    <i>
      <x v="692"/>
    </i>
    <i>
      <x v="944"/>
    </i>
    <i>
      <x v="809"/>
    </i>
    <i>
      <x v="779"/>
    </i>
    <i>
      <x v="960"/>
    </i>
    <i>
      <x v="780"/>
    </i>
    <i>
      <x v="992"/>
    </i>
    <i>
      <x v="834"/>
    </i>
    <i>
      <x v="685"/>
    </i>
    <i>
      <x v="838"/>
    </i>
    <i>
      <x v="771"/>
    </i>
    <i>
      <x v="840"/>
    </i>
    <i>
      <x v="819"/>
    </i>
    <i>
      <x v="842"/>
    </i>
    <i>
      <x v="985"/>
    </i>
    <i>
      <x v="675"/>
    </i>
    <i>
      <x v="919"/>
    </i>
    <i>
      <x v="849"/>
    </i>
    <i>
      <x v="732"/>
    </i>
    <i>
      <x v="850"/>
    </i>
    <i>
      <x v="941"/>
    </i>
    <i>
      <x v="851"/>
    </i>
    <i>
      <x v="949"/>
    </i>
    <i>
      <x v="853"/>
    </i>
    <i>
      <x v="958"/>
    </i>
    <i>
      <x v="857"/>
    </i>
    <i>
      <x v="672"/>
    </i>
    <i>
      <x v="858"/>
    </i>
    <i>
      <x v="745"/>
    </i>
    <i>
      <x v="762"/>
    </i>
    <i>
      <x v="774"/>
    </i>
    <i>
      <x v="719"/>
    </i>
    <i>
      <x v="990"/>
    </i>
    <i>
      <x v="763"/>
    </i>
    <i>
      <x v="994"/>
    </i>
    <i>
      <x v="863"/>
    </i>
    <i>
      <x v="705"/>
    </i>
    <i>
      <x v="871"/>
    </i>
    <i>
      <x v="924"/>
    </i>
    <i>
      <x v="880"/>
    </i>
    <i>
      <x v="684"/>
    </i>
    <i>
      <x v="882"/>
    </i>
    <i>
      <x v="738"/>
    </i>
    <i>
      <x v="884"/>
    </i>
    <i>
      <x v="811"/>
    </i>
    <i>
      <x v="701"/>
    </i>
    <i>
      <x v="694"/>
    </i>
    <i>
      <x v="681"/>
    </i>
    <i>
      <x v="951"/>
    </i>
    <i>
      <x v="890"/>
    </i>
    <i>
      <x v="816"/>
    </i>
    <i>
      <x v="799"/>
    </i>
    <i>
      <x v="959"/>
    </i>
    <i>
      <x v="896"/>
    </i>
    <i>
      <x v="962"/>
    </i>
    <i>
      <x v="897"/>
    </i>
    <i>
      <x v="966"/>
    </i>
    <i>
      <x v="702"/>
    </i>
    <i>
      <x v="709"/>
    </i>
    <i>
      <x v="899"/>
    </i>
    <i>
      <x v="976"/>
    </i>
    <i>
      <x v="900"/>
    </i>
    <i>
      <x v="823"/>
    </i>
    <i>
      <x v="730"/>
    </i>
    <i>
      <x v="981"/>
    </i>
    <i>
      <x v="703"/>
    </i>
    <i>
      <x v="986"/>
    </i>
    <i>
      <x v="689"/>
    </i>
    <i>
      <x v="991"/>
    </i>
    <i>
      <x v="751"/>
    </i>
    <i>
      <x v="759"/>
    </i>
    <i>
      <x v="683"/>
    </i>
    <i>
      <x v="752"/>
    </i>
    <i>
      <x v="712"/>
    </i>
    <i>
      <x v="380"/>
    </i>
    <i>
      <x v="410"/>
    </i>
    <i>
      <x v="443"/>
    </i>
    <i>
      <x v="464"/>
    </i>
    <i>
      <x v="343"/>
    </i>
    <i>
      <x v="440"/>
    </i>
    <i>
      <x v="461"/>
    </i>
    <i>
      <x v="386"/>
    </i>
    <i>
      <x v="373"/>
    </i>
    <i>
      <x v="338"/>
    </i>
    <i>
      <x v="348"/>
    </i>
    <i>
      <x v="389"/>
    </i>
    <i>
      <x v="630"/>
    </i>
    <i>
      <x v="525"/>
    </i>
    <i>
      <x v="501"/>
    </i>
    <i>
      <x v="526"/>
    </i>
    <i>
      <x v="382"/>
    </i>
    <i>
      <x v="527"/>
    </i>
    <i>
      <x v="593"/>
    </i>
    <i>
      <x v="528"/>
    </i>
    <i>
      <x v="599"/>
    </i>
    <i>
      <x v="390"/>
    </i>
    <i>
      <x v="609"/>
    </i>
    <i>
      <x v="391"/>
    </i>
    <i>
      <x v="621"/>
    </i>
    <i>
      <x v="534"/>
    </i>
    <i>
      <x v="415"/>
    </i>
    <i>
      <x v="392"/>
    </i>
    <i>
      <x v="496"/>
    </i>
    <i>
      <x v="470"/>
    </i>
    <i>
      <x v="499"/>
    </i>
    <i>
      <x v="543"/>
    </i>
    <i>
      <x v="649"/>
    </i>
    <i>
      <x v="545"/>
    </i>
    <i>
      <x v="508"/>
    </i>
    <i>
      <x v="393"/>
    </i>
    <i>
      <x v="511"/>
    </i>
    <i>
      <x v="548"/>
    </i>
    <i>
      <x v="346"/>
    </i>
    <i>
      <x v="549"/>
    </i>
    <i>
      <x v="594"/>
    </i>
    <i>
      <x v="448"/>
    </i>
    <i>
      <x v="453"/>
    </i>
    <i>
      <x v="395"/>
    </i>
    <i>
      <x v="600"/>
    </i>
    <i>
      <x v="450"/>
    </i>
    <i>
      <x v="605"/>
    </i>
    <i>
      <x v="562"/>
    </i>
    <i>
      <x v="610"/>
    </i>
    <i>
      <x v="563"/>
    </i>
    <i>
      <x v="616"/>
    </i>
    <i>
      <x v="564"/>
    </i>
    <i>
      <x v="456"/>
    </i>
    <i>
      <x v="565"/>
    </i>
    <i>
      <x v="493"/>
    </i>
    <i>
      <x v="398"/>
    </i>
    <i>
      <x v="629"/>
    </i>
    <i>
      <x v="399"/>
    </i>
    <i>
      <x v="495"/>
    </i>
    <i>
      <x v="573"/>
    </i>
    <i>
      <x v="418"/>
    </i>
    <i>
      <x v="574"/>
    </i>
    <i>
      <x v="637"/>
    </i>
    <i>
      <x v="575"/>
    </i>
    <i>
      <x v="352"/>
    </i>
    <i>
      <x v="370"/>
    </i>
    <i>
      <x v="366"/>
    </i>
    <i>
      <x v="478"/>
    </i>
    <i>
      <x v="339"/>
    </i>
    <i>
      <x v="581"/>
    </i>
    <i>
      <x v="429"/>
    </i>
    <i>
      <x v="402"/>
    </i>
    <i>
      <x v="432"/>
    </i>
    <i>
      <x v="403"/>
    </i>
    <i>
      <x v="434"/>
    </i>
    <i>
      <x v="404"/>
    </i>
    <i>
      <x v="588"/>
    </i>
    <i>
      <x v="589"/>
    </i>
    <i>
      <x v="291"/>
    </i>
    <i>
      <x v="260"/>
    </i>
    <i>
      <x v="321"/>
    </i>
    <i>
      <x v="170"/>
    </i>
    <i>
      <x v="17"/>
    </i>
    <i>
      <x v="96"/>
    </i>
    <i>
      <x v="307"/>
    </i>
    <i>
      <x v="172"/>
    </i>
    <i>
      <x v="6"/>
    </i>
    <i>
      <x v="117"/>
    </i>
    <i>
      <x v="266"/>
    </i>
    <i>
      <x v="176"/>
    </i>
    <i>
      <x v="286"/>
    </i>
    <i>
      <x v="177"/>
    </i>
    <i>
      <x v="79"/>
    </i>
    <i>
      <x v="178"/>
    </i>
    <i>
      <x v="161"/>
    </i>
    <i>
      <x v="1"/>
    </i>
    <i>
      <x v="94"/>
    </i>
    <i>
      <x v="48"/>
    </i>
    <i>
      <x v="256"/>
    </i>
    <i>
      <x v="97"/>
    </i>
    <i>
      <x v="263"/>
    </i>
    <i>
      <x v="25"/>
    </i>
    <i>
      <x v="274"/>
    </i>
    <i>
      <x v="187"/>
    </i>
    <i>
      <x v="40"/>
    </i>
    <i>
      <x v="32"/>
    </i>
    <i>
      <x v="289"/>
    </i>
    <i>
      <x v="123"/>
    </i>
    <i>
      <x v="297"/>
    </i>
    <i>
      <x v="192"/>
    </i>
    <i>
      <x v="158"/>
    </i>
    <i>
      <x v="52"/>
    </i>
    <i>
      <x v="82"/>
    </i>
    <i>
      <x v="125"/>
    </i>
    <i>
      <x v="316"/>
    </i>
    <i>
      <x v="26"/>
    </i>
    <i>
      <x v="10"/>
    </i>
    <i>
      <x v="127"/>
    </i>
    <i>
      <x v="328"/>
    </i>
    <i>
      <x v="129"/>
    </i>
    <i>
      <x v="62"/>
    </i>
    <i>
      <x v="203"/>
    </i>
    <i>
      <x v="4"/>
    </i>
    <i>
      <x v="207"/>
    </i>
    <i>
      <x v="261"/>
    </i>
    <i>
      <x v="131"/>
    </i>
    <i>
      <x v="148"/>
    </i>
    <i>
      <x v="101"/>
    </i>
    <i>
      <x v="272"/>
    </i>
    <i>
      <x v="102"/>
    </i>
    <i>
      <x v="275"/>
    </i>
    <i>
      <x v="214"/>
    </i>
    <i>
      <x v="18"/>
    </i>
    <i>
      <x v="135"/>
    </i>
    <i>
      <x v="153"/>
    </i>
    <i>
      <x v="216"/>
    </i>
    <i>
      <x v="75"/>
    </i>
    <i>
      <x v="136"/>
    </i>
    <i>
      <x v="290"/>
    </i>
    <i>
      <x v="137"/>
    </i>
    <i>
      <x v="76"/>
    </i>
    <i>
      <x v="221"/>
    </i>
    <i>
      <x v="299"/>
    </i>
    <i>
      <x v="227"/>
    </i>
    <i>
      <x v="302"/>
    </i>
    <i>
      <x v="228"/>
    </i>
    <i>
      <x v="304"/>
    </i>
    <i>
      <x v="104"/>
    </i>
    <i>
      <x v="21"/>
    </i>
    <i>
      <x v="233"/>
    </i>
    <i>
      <x v="160"/>
    </i>
    <i>
      <x v="234"/>
    </i>
    <i>
      <x v="315"/>
    </i>
    <i>
      <x v="235"/>
    </i>
    <i>
      <x v="162"/>
    </i>
    <i>
      <x v="237"/>
    </i>
    <i>
      <x v="93"/>
    </i>
    <i>
      <x v="8"/>
    </i>
    <i>
      <x v="325"/>
    </i>
    <i>
      <x v="244"/>
    </i>
    <i>
      <x v="113"/>
    </i>
    <i>
      <x v="246"/>
    </i>
    <i>
      <x v="86"/>
    </i>
    <i>
      <x v="247"/>
    </i>
    <i>
      <x v="95"/>
    </i>
    <i>
      <x v="61"/>
    </i>
    <i>
      <x v="855"/>
    </i>
    <i>
      <x v="952"/>
    </i>
    <i>
      <x v="984"/>
    </i>
    <i>
      <x v="906"/>
    </i>
    <i>
      <x v="781"/>
    </i>
    <i>
      <x v="907"/>
    </i>
    <i>
      <x v="893"/>
    </i>
    <i>
      <x v="790"/>
    </i>
    <i>
      <x v="902"/>
    </i>
    <i>
      <x v="909"/>
    </i>
    <i>
      <x v="772"/>
    </i>
    <i>
      <x v="714"/>
    </i>
    <i>
      <x v="818"/>
    </i>
    <i>
      <x v="802"/>
    </i>
    <i>
      <x v="821"/>
    </i>
    <i>
      <x v="864"/>
    </i>
    <i>
      <x v="784"/>
    </i>
    <i>
      <x v="804"/>
    </i>
    <i>
      <x v="674"/>
    </i>
    <i>
      <x v="697"/>
    </i>
    <i>
      <x v="996"/>
    </i>
    <i>
      <x v="865"/>
    </i>
    <i>
      <x v="883"/>
    </i>
    <i>
      <x v="916"/>
    </i>
    <i>
      <x v="852"/>
    </i>
    <i>
      <x v="866"/>
    </i>
    <i>
      <x v="854"/>
    </i>
    <i>
      <x v="867"/>
    </i>
    <i>
      <x v="889"/>
    </i>
    <i>
      <x v="868"/>
    </i>
    <i>
      <x v="744"/>
    </i>
    <i>
      <x v="791"/>
    </i>
    <i>
      <x v="974"/>
    </i>
    <i>
      <x v="753"/>
    </i>
    <i>
      <x v="787"/>
    </i>
    <i>
      <x v="922"/>
    </i>
    <i>
      <x v="825"/>
    </i>
    <i>
      <x v="721"/>
    </i>
    <i>
      <x v="846"/>
    </i>
    <i>
      <x v="761"/>
    </i>
    <i>
      <x v="717"/>
    </i>
    <i>
      <x v="925"/>
    </i>
    <i>
      <x v="904"/>
    </i>
    <i>
      <x v="926"/>
    </i>
    <i>
      <x v="905"/>
    </i>
    <i>
      <x v="792"/>
    </i>
    <i>
      <x v="783"/>
    </i>
    <i>
      <x v="733"/>
    </i>
    <i>
      <x v="955"/>
    </i>
    <i>
      <x v="707"/>
    </i>
    <i>
      <x v="741"/>
    </i>
    <i>
      <x v="734"/>
    </i>
    <i>
      <x v="725"/>
    </i>
    <i>
      <x v="793"/>
    </i>
    <i>
      <x v="687"/>
    </i>
    <i>
      <x v="749"/>
    </i>
    <i>
      <x v="963"/>
    </i>
    <i>
      <x v="933"/>
    </i>
    <i>
      <x v="764"/>
    </i>
    <i>
      <x v="934"/>
    </i>
    <i>
      <x v="967"/>
    </i>
    <i>
      <x v="935"/>
    </i>
    <i>
      <x v="798"/>
    </i>
    <i>
      <x v="737"/>
    </i>
    <i>
      <x v="892"/>
    </i>
    <i>
      <x v="937"/>
    </i>
    <i>
      <x v="973"/>
    </i>
    <i>
      <x v="794"/>
    </i>
    <i>
      <x v="747"/>
    </i>
    <i>
      <x v="939"/>
    </i>
    <i>
      <x v="894"/>
    </i>
    <i>
      <x v="940"/>
    </i>
    <i>
      <x v="979"/>
    </i>
    <i>
      <x v="795"/>
    </i>
    <i>
      <x v="698"/>
    </i>
    <i>
      <x v="877"/>
    </i>
    <i>
      <x v="983"/>
    </i>
    <i>
      <x v="739"/>
    </i>
    <i>
      <x v="845"/>
    </i>
    <i>
      <x v="878"/>
    </i>
    <i>
      <x v="826"/>
    </i>
    <i>
      <x v="945"/>
    </i>
    <i>
      <x v="989"/>
    </i>
    <i>
      <x v="879"/>
    </i>
    <i>
      <x v="901"/>
    </i>
    <i>
      <x v="947"/>
    </i>
    <i>
      <x v="670"/>
    </i>
    <i>
      <x v="770"/>
    </i>
    <i>
      <x v="995"/>
    </i>
    <i>
      <x v="836"/>
    </i>
    <i>
      <x v="760"/>
    </i>
    <i>
      <x v="814"/>
    </i>
    <i>
      <x v="881"/>
    </i>
    <i>
      <x v="914"/>
    </i>
    <i>
      <x v="874"/>
    </i>
    <i>
      <x v="427"/>
    </i>
    <i>
      <x v="579"/>
    </i>
    <i>
      <x v="378"/>
    </i>
    <i>
      <x v="555"/>
    </i>
    <i>
      <x v="505"/>
    </i>
    <i>
      <x v="556"/>
    </i>
    <i>
      <x v="363"/>
    </i>
    <i>
      <x v="518"/>
    </i>
    <i>
      <x v="379"/>
    </i>
    <i>
      <x v="596"/>
    </i>
    <i>
      <x v="387"/>
    </i>
    <i>
      <x v="408"/>
    </i>
    <i>
      <x v="460"/>
    </i>
    <i>
      <x v="558"/>
    </i>
    <i>
      <x v="367"/>
    </i>
    <i>
      <x v="396"/>
    </i>
    <i>
      <x v="542"/>
    </i>
    <i>
      <x v="560"/>
    </i>
    <i>
      <x v="384"/>
    </i>
    <i>
      <x v="601"/>
    </i>
    <i>
      <x v="401"/>
    </i>
    <i>
      <x v="602"/>
    </i>
    <i>
      <x v="641"/>
    </i>
    <i>
      <x v="483"/>
    </i>
    <i>
      <x v="344"/>
    </i>
    <i>
      <x v="397"/>
    </i>
    <i>
      <x v="468"/>
    </i>
    <i>
      <x v="537"/>
    </i>
    <i>
      <x v="388"/>
    </i>
    <i>
      <x v="606"/>
    </i>
    <i>
      <x v="586"/>
    </i>
    <i>
      <x v="375"/>
    </i>
    <i>
      <x v="446"/>
    </i>
    <i>
      <x v="485"/>
    </i>
    <i>
      <x v="512"/>
    </i>
    <i>
      <x v="523"/>
    </i>
    <i>
      <x v="445"/>
    </i>
    <i>
      <x v="539"/>
    </i>
    <i>
      <x v="544"/>
    </i>
    <i>
      <x v="486"/>
    </i>
    <i>
      <x v="531"/>
    </i>
    <i>
      <x v="612"/>
    </i>
    <i>
      <x v="345"/>
    </i>
    <i>
      <x v="376"/>
    </i>
    <i>
      <x v="638"/>
    </i>
    <i>
      <x v="362"/>
    </i>
    <i>
      <x v="394"/>
    </i>
    <i>
      <x v="349"/>
    </i>
    <i>
      <x v="337"/>
    </i>
    <i>
      <x v="566"/>
    </i>
    <i>
      <x v="365"/>
    </i>
    <i>
      <x v="617"/>
    </i>
    <i>
      <x v="371"/>
    </i>
    <i>
      <x v="618"/>
    </i>
    <i>
      <x v="423"/>
    </i>
    <i>
      <x v="454"/>
    </i>
    <i>
      <x v="650"/>
    </i>
    <i>
      <x v="489"/>
    </i>
    <i>
      <x v="353"/>
    </i>
    <i>
      <x v="451"/>
    </i>
    <i>
      <x v="585"/>
    </i>
    <i>
      <x v="364"/>
    </i>
    <i>
      <x v="355"/>
    </i>
    <i>
      <x v="568"/>
    </i>
    <i>
      <x v="473"/>
    </i>
    <i>
      <x v="541"/>
    </i>
    <i>
      <x v="359"/>
    </i>
    <i>
      <x v="625"/>
    </i>
    <i>
      <x v="667"/>
    </i>
    <i>
      <x v="570"/>
    </i>
    <i>
      <x v="358"/>
    </i>
    <i>
      <x v="627"/>
    </i>
    <i>
      <x v="347"/>
    </i>
    <i>
      <x v="571"/>
    </i>
    <i>
      <x v="514"/>
    </i>
    <i>
      <x v="438"/>
    </i>
    <i>
      <x v="24"/>
    </i>
    <i>
      <x v="141"/>
    </i>
    <i>
      <x v="43"/>
    </i>
    <i>
      <x v="258"/>
    </i>
    <i>
      <x v="44"/>
    </i>
    <i>
      <x v="2"/>
    </i>
    <i>
      <x v="254"/>
    </i>
    <i>
      <x v="174"/>
    </i>
    <i>
      <x v="236"/>
    </i>
    <i>
      <x v="58"/>
    </i>
    <i>
      <x v="116"/>
    </i>
    <i>
      <x v="65"/>
    </i>
    <i>
      <x v="99"/>
    </i>
    <i>
      <x v="179"/>
    </i>
    <i>
      <x v="250"/>
    </i>
    <i>
      <x v="147"/>
    </i>
    <i>
      <x v="195"/>
    </i>
    <i>
      <x v="128"/>
    </i>
    <i>
      <x v="78"/>
    </i>
    <i>
      <x v="220"/>
    </i>
    <i>
      <x v="191"/>
    </i>
    <i>
      <x v="27"/>
    </i>
    <i>
      <x v="306"/>
    </i>
    <i>
      <x v="268"/>
    </i>
    <i>
      <x v="310"/>
    </i>
    <i>
      <x v="5"/>
    </i>
    <i>
      <x v="56"/>
    </i>
    <i>
      <x v="270"/>
    </i>
    <i>
      <x v="318"/>
    </i>
    <i>
      <x v="67"/>
    </i>
    <i>
      <x v="322"/>
    </i>
    <i>
      <x v="189"/>
    </i>
    <i>
      <x v="252"/>
    </i>
    <i>
      <x v="273"/>
    </i>
    <i>
      <x v="87"/>
    </i>
    <i>
      <x v="103"/>
    </i>
    <i>
      <x v="51"/>
    </i>
    <i>
      <x v="223"/>
    </i>
    <i>
      <x v="205"/>
    </i>
    <i>
      <x v="39"/>
    </i>
    <i>
      <x v="206"/>
    </i>
    <i>
      <x v="69"/>
    </i>
    <i>
      <x v="80"/>
    </i>
    <i>
      <x v="224"/>
    </i>
    <i>
      <x v="238"/>
    </i>
    <i>
      <x v="279"/>
    </i>
    <i>
      <x v="305"/>
    </i>
    <i>
      <x v="151"/>
    </i>
    <i>
      <x v="240"/>
    </i>
    <i>
      <x v="3"/>
    </i>
    <i>
      <x v="309"/>
    </i>
    <i>
      <x v="226"/>
    </i>
    <i>
      <x v="242"/>
    </i>
    <i>
      <x v="283"/>
    </i>
    <i>
      <x v="143"/>
    </i>
    <i>
      <x v="201"/>
    </i>
    <i>
      <x v="105"/>
    </i>
    <i>
      <x v="285"/>
    </i>
    <i>
      <x v="90"/>
    </i>
    <i>
      <x v="130"/>
    </i>
    <i>
      <x v="319"/>
    </i>
    <i>
      <x v="20"/>
    </i>
    <i>
      <x v="106"/>
    </i>
    <i>
      <x v="120"/>
    </i>
    <i>
      <x v="249"/>
    </i>
    <i>
      <x v="230"/>
    </i>
    <i>
      <x v="185"/>
    </i>
    <i>
      <x v="140"/>
    </i>
    <i>
      <x v="134"/>
    </i>
    <i>
      <x v="232"/>
    </i>
    <i>
      <x v="255"/>
    </i>
    <i>
      <x v="204"/>
    </i>
    <i>
      <x v="168"/>
    </i>
    <i>
      <x v="23"/>
    </i>
    <i>
      <x v="89"/>
    </i>
    <i>
      <x v="28"/>
    </i>
    <i>
      <x v="42"/>
    </i>
  </rowItems>
  <colItems count="1">
    <i/>
  </colItems>
  <dataFields count="1">
    <dataField name="Sum of Quantity" fld="8"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4B090A1-20D4-480B-8731-DCDACF648617}" sourceName="YEAR">
  <pivotTables>
    <pivotTable tabId="9" name="PivotTable31"/>
    <pivotTable tabId="8" name="PivotTable30"/>
    <pivotTable tabId="7" name="PivotTable27"/>
    <pivotTable tabId="10" name="PivotTable32"/>
  </pivotTables>
  <data>
    <tabular pivotCacheId="175798684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F71CB25-A246-4DED-9BF4-8C572321CEB0}" sourceName="Product Category">
  <pivotTables>
    <pivotTable tabId="9" name="PivotTable31"/>
    <pivotTable tabId="8" name="PivotTable30"/>
    <pivotTable tabId="7" name="PivotTable27"/>
  </pivotTables>
  <data>
    <tabular pivotCacheId="1757986846">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B96BFAC-6649-4340-88AB-A542AAC2C548}" cache="Slicer_YEAR" caption="YEAR" columnCount="2" style="SlicerStyleLight5" rowHeight="234950"/>
  <slicer name="Product Category" xr10:uid="{90997786-8AE2-4FF0-BA6A-D82A60A6240D}" cache="Slicer_Product_Category" caption="Product Category" columnCount="3" style="SlicerStyleLight5"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1B4419-1A60-4351-A822-78A96B06CFFE}" name="SALE_DATA" displayName="SALE_DATA" ref="A1:K1016" totalsRowShown="0">
  <autoFilter ref="A1:K1016" xr:uid="{781B4419-1A60-4351-A822-78A96B06CFFE}"/>
  <sortState xmlns:xlrd2="http://schemas.microsoft.com/office/spreadsheetml/2017/richdata2" ref="A2:K1016">
    <sortCondition ref="B2:B1016"/>
  </sortState>
  <tableColumns count="11">
    <tableColumn id="1" xr3:uid="{85471946-C073-4B8A-BA03-E1B2C706985D}" name="Transaction ID"/>
    <tableColumn id="2" xr3:uid="{2E40F33C-0B52-4E1F-9EE3-AE6FF59578FA}" name="Date" dataDxfId="5"/>
    <tableColumn id="11" xr3:uid="{956728AD-9647-4123-BA7B-1F70F21D2C11}" name="YEAR" dataDxfId="4">
      <calculatedColumnFormula>YEAR(B2)</calculatedColumnFormula>
    </tableColumn>
    <tableColumn id="13" xr3:uid="{9E82F6A1-5231-409A-AC25-A1BBA6A0024E}" name="MONTH" dataDxfId="3">
      <calculatedColumnFormula>MONTH(B2)</calculatedColumnFormula>
    </tableColumn>
    <tableColumn id="3" xr3:uid="{9F739D7D-7A5E-477F-B9A0-BEE304A18CE2}" name="Customer ID"/>
    <tableColumn id="4" xr3:uid="{D9F85349-D236-4E9E-A56F-BF7C4610E8F4}" name="Gender"/>
    <tableColumn id="5" xr3:uid="{DBC57B9B-C16F-4FC9-A1EE-E3AEAC54500D}" name="Age"/>
    <tableColumn id="6" xr3:uid="{8EACD235-C7A3-4E12-A9F6-CC1DE5FCB8D1}" name="Product Category"/>
    <tableColumn id="7" xr3:uid="{BEE4ABF8-9DC3-4FAB-89D4-83C20FCBC062}" name="Quantity" dataDxfId="2"/>
    <tableColumn id="8" xr3:uid="{8EB69933-E2A6-4676-94FF-9626A4B4ACC5}" name="Price per Unit" dataDxfId="1"/>
    <tableColumn id="9" xr3:uid="{67F9A14C-D9FB-45A3-9ADB-C615143FD03B}" name="Total Amou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C5E7C-FD33-4FD0-9344-F2D140A7B1C4}">
  <dimension ref="A3:E7"/>
  <sheetViews>
    <sheetView workbookViewId="0">
      <selection activeCell="N32" sqref="N32"/>
    </sheetView>
  </sheetViews>
  <sheetFormatPr defaultRowHeight="14.4" x14ac:dyDescent="0.3"/>
  <cols>
    <col min="1" max="1" width="12.5546875" bestFit="1" customWidth="1"/>
    <col min="2" max="2" width="19.21875" bestFit="1" customWidth="1"/>
    <col min="4" max="4" width="18.6640625" customWidth="1"/>
    <col min="5" max="5" width="15.109375" customWidth="1"/>
  </cols>
  <sheetData>
    <row r="3" spans="1:5" x14ac:dyDescent="0.3">
      <c r="A3" s="4" t="s">
        <v>0</v>
      </c>
      <c r="B3" t="s">
        <v>1</v>
      </c>
    </row>
    <row r="4" spans="1:5" x14ac:dyDescent="0.3">
      <c r="A4" s="5" t="s">
        <v>2</v>
      </c>
      <c r="B4" s="2">
        <v>150450</v>
      </c>
      <c r="D4" s="5" t="s">
        <v>2</v>
      </c>
      <c r="E4" s="2">
        <v>150450</v>
      </c>
    </row>
    <row r="5" spans="1:5" x14ac:dyDescent="0.3">
      <c r="A5" s="5" t="s">
        <v>3</v>
      </c>
      <c r="B5" s="2">
        <v>155580</v>
      </c>
      <c r="D5" s="5" t="s">
        <v>3</v>
      </c>
      <c r="E5" s="2">
        <v>155580</v>
      </c>
    </row>
    <row r="6" spans="1:5" x14ac:dyDescent="0.3">
      <c r="A6" s="5" t="s">
        <v>4</v>
      </c>
      <c r="B6" s="2">
        <v>161368</v>
      </c>
      <c r="D6" s="5" t="s">
        <v>4</v>
      </c>
      <c r="E6" s="2">
        <v>161368</v>
      </c>
    </row>
    <row r="7" spans="1:5" x14ac:dyDescent="0.3">
      <c r="A7" s="5" t="s">
        <v>5</v>
      </c>
      <c r="B7" s="2">
        <v>467398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1EB79C-01E2-4DBA-80D5-7BE7D9280CDA}">
  <dimension ref="A3:G19"/>
  <sheetViews>
    <sheetView workbookViewId="0">
      <selection activeCell="A3" sqref="A3:G19"/>
    </sheetView>
  </sheetViews>
  <sheetFormatPr defaultRowHeight="14.4" x14ac:dyDescent="0.3"/>
  <cols>
    <col min="1" max="1" width="12.5546875" bestFit="1" customWidth="1"/>
    <col min="2" max="2" width="19.21875" bestFit="1" customWidth="1"/>
    <col min="3" max="3" width="19" bestFit="1" customWidth="1"/>
    <col min="4" max="4" width="19.21875" bestFit="1" customWidth="1"/>
    <col min="5" max="5" width="19" bestFit="1" customWidth="1"/>
    <col min="6" max="6" width="19.21875" bestFit="1" customWidth="1"/>
    <col min="7" max="7" width="19" bestFit="1" customWidth="1"/>
  </cols>
  <sheetData>
    <row r="3" spans="1:7" x14ac:dyDescent="0.3">
      <c r="B3" s="4" t="s">
        <v>6</v>
      </c>
    </row>
    <row r="4" spans="1:7" x14ac:dyDescent="0.3">
      <c r="B4" t="s">
        <v>2</v>
      </c>
      <c r="D4" t="s">
        <v>3</v>
      </c>
      <c r="F4" t="s">
        <v>4</v>
      </c>
    </row>
    <row r="5" spans="1:7" x14ac:dyDescent="0.3">
      <c r="A5" s="4" t="s">
        <v>0</v>
      </c>
      <c r="B5" t="s">
        <v>1</v>
      </c>
      <c r="C5" t="s">
        <v>7</v>
      </c>
      <c r="D5" t="s">
        <v>1</v>
      </c>
      <c r="E5" t="s">
        <v>7</v>
      </c>
      <c r="F5" t="s">
        <v>1</v>
      </c>
      <c r="G5" t="s">
        <v>7</v>
      </c>
    </row>
    <row r="6" spans="1:7" x14ac:dyDescent="0.3">
      <c r="A6" s="7">
        <v>2023</v>
      </c>
      <c r="B6" s="2">
        <v>142015</v>
      </c>
      <c r="C6" s="2">
        <v>56005</v>
      </c>
      <c r="D6" s="2">
        <v>155580</v>
      </c>
      <c r="E6" s="2">
        <v>61175</v>
      </c>
      <c r="F6" s="2">
        <v>156875</v>
      </c>
      <c r="G6" s="2">
        <v>62180</v>
      </c>
    </row>
    <row r="7" spans="1:7" x14ac:dyDescent="0.3">
      <c r="A7" s="6">
        <v>1</v>
      </c>
      <c r="B7" s="2">
        <v>11730</v>
      </c>
      <c r="C7" s="2">
        <v>11730</v>
      </c>
      <c r="D7" s="2">
        <v>16115</v>
      </c>
      <c r="E7" s="2">
        <v>16115</v>
      </c>
      <c r="F7" s="2">
        <v>16930</v>
      </c>
      <c r="G7" s="2">
        <v>16930</v>
      </c>
    </row>
    <row r="8" spans="1:7" x14ac:dyDescent="0.3">
      <c r="A8" s="6">
        <v>2</v>
      </c>
      <c r="B8" s="2">
        <v>29930</v>
      </c>
      <c r="C8" s="2">
        <v>14965</v>
      </c>
      <c r="D8" s="2">
        <v>24670</v>
      </c>
      <c r="E8" s="2">
        <v>12335</v>
      </c>
      <c r="F8" s="2">
        <v>26450</v>
      </c>
      <c r="G8" s="2">
        <v>13225</v>
      </c>
    </row>
    <row r="9" spans="1:7" x14ac:dyDescent="0.3">
      <c r="A9" s="6">
        <v>3</v>
      </c>
      <c r="B9" s="2">
        <v>50655</v>
      </c>
      <c r="C9" s="2">
        <v>16885</v>
      </c>
      <c r="D9" s="2">
        <v>48315</v>
      </c>
      <c r="E9" s="2">
        <v>16105</v>
      </c>
      <c r="F9" s="2">
        <v>43815</v>
      </c>
      <c r="G9" s="2">
        <v>14605</v>
      </c>
    </row>
    <row r="10" spans="1:7" x14ac:dyDescent="0.3">
      <c r="A10" s="6">
        <v>4</v>
      </c>
      <c r="B10" s="2">
        <v>49700</v>
      </c>
      <c r="C10" s="2">
        <v>12425</v>
      </c>
      <c r="D10" s="2">
        <v>66480</v>
      </c>
      <c r="E10" s="2">
        <v>16620</v>
      </c>
      <c r="F10" s="2">
        <v>69680</v>
      </c>
      <c r="G10" s="2">
        <v>17420</v>
      </c>
    </row>
    <row r="11" spans="1:7" x14ac:dyDescent="0.3">
      <c r="A11" s="7">
        <v>2024</v>
      </c>
      <c r="B11" s="2">
        <v>8435</v>
      </c>
      <c r="C11" s="2">
        <v>3482</v>
      </c>
      <c r="D11" s="2"/>
      <c r="E11" s="2"/>
      <c r="F11" s="2">
        <v>4493</v>
      </c>
      <c r="G11" s="2">
        <v>936</v>
      </c>
    </row>
    <row r="12" spans="1:7" x14ac:dyDescent="0.3">
      <c r="A12" s="6">
        <v>1</v>
      </c>
      <c r="B12" s="2"/>
      <c r="C12" s="2"/>
      <c r="D12" s="2"/>
      <c r="E12" s="2"/>
      <c r="F12" s="2">
        <v>30</v>
      </c>
      <c r="G12" s="2">
        <v>30</v>
      </c>
    </row>
    <row r="13" spans="1:7" x14ac:dyDescent="0.3">
      <c r="A13" s="6">
        <v>2</v>
      </c>
      <c r="B13" s="2">
        <v>1000</v>
      </c>
      <c r="C13" s="2">
        <v>89</v>
      </c>
      <c r="D13" s="2"/>
      <c r="E13" s="2"/>
      <c r="F13" s="2"/>
      <c r="G13" s="2"/>
    </row>
    <row r="14" spans="1:7" x14ac:dyDescent="0.3">
      <c r="A14" s="6">
        <v>3</v>
      </c>
      <c r="B14" s="2">
        <v>2199</v>
      </c>
      <c r="C14" s="2">
        <v>569</v>
      </c>
      <c r="D14" s="2"/>
      <c r="E14" s="2"/>
      <c r="F14" s="2"/>
      <c r="G14" s="2"/>
    </row>
    <row r="15" spans="1:7" x14ac:dyDescent="0.3">
      <c r="A15" s="6">
        <v>4</v>
      </c>
      <c r="B15" s="2">
        <v>199</v>
      </c>
      <c r="C15" s="2">
        <v>599</v>
      </c>
      <c r="D15" s="2"/>
      <c r="E15" s="2"/>
      <c r="F15" s="2">
        <v>769</v>
      </c>
      <c r="G15" s="2">
        <v>350</v>
      </c>
    </row>
    <row r="16" spans="1:7" x14ac:dyDescent="0.3">
      <c r="A16" s="6">
        <v>5</v>
      </c>
      <c r="B16" s="2">
        <v>2098</v>
      </c>
      <c r="C16" s="2">
        <v>1275</v>
      </c>
      <c r="D16" s="2"/>
      <c r="E16" s="2"/>
      <c r="F16" s="2"/>
      <c r="G16" s="2"/>
    </row>
    <row r="17" spans="1:7" x14ac:dyDescent="0.3">
      <c r="A17" s="6">
        <v>6</v>
      </c>
      <c r="B17" s="2"/>
      <c r="C17" s="2"/>
      <c r="D17" s="2"/>
      <c r="E17" s="2"/>
      <c r="F17" s="2">
        <v>1098</v>
      </c>
      <c r="G17" s="2">
        <v>176</v>
      </c>
    </row>
    <row r="18" spans="1:7" x14ac:dyDescent="0.3">
      <c r="A18" s="6">
        <v>7</v>
      </c>
      <c r="B18" s="2">
        <v>1440</v>
      </c>
      <c r="C18" s="2">
        <v>700</v>
      </c>
      <c r="D18" s="2"/>
      <c r="E18" s="2"/>
      <c r="F18" s="2">
        <v>699</v>
      </c>
      <c r="G18" s="2">
        <v>65</v>
      </c>
    </row>
    <row r="19" spans="1:7" x14ac:dyDescent="0.3">
      <c r="A19" s="6">
        <v>8</v>
      </c>
      <c r="B19" s="2">
        <v>1499</v>
      </c>
      <c r="C19" s="2">
        <v>250</v>
      </c>
      <c r="D19" s="2"/>
      <c r="E19" s="2"/>
      <c r="F19" s="2">
        <v>1897</v>
      </c>
      <c r="G19" s="2">
        <v>315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55265-2C26-4F4F-912F-D63D53B007F4}">
  <dimension ref="A1"/>
  <sheetViews>
    <sheetView showGridLines="0" showRowColHeaders="0" tabSelected="1" topLeftCell="A2" zoomScaleNormal="100" workbookViewId="0">
      <selection activeCell="X6" sqref="X6"/>
    </sheetView>
  </sheetViews>
  <sheetFormatPr defaultRowHeight="14.4" x14ac:dyDescent="0.3"/>
  <sheetData/>
  <pageMargins left="0.7" right="0.7" top="0.75" bottom="0.75" header="0.3" footer="0.3"/>
  <pageSetup paperSize="9" orientation="landscape" horizontalDpi="0"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578B7-F453-4747-A6C2-ADD31CB7FAC6}">
  <dimension ref="A3:S18"/>
  <sheetViews>
    <sheetView workbookViewId="0">
      <selection activeCell="X6" sqref="X6"/>
    </sheetView>
  </sheetViews>
  <sheetFormatPr defaultRowHeight="14.4" x14ac:dyDescent="0.3"/>
  <cols>
    <col min="1" max="1" width="12.5546875" bestFit="1" customWidth="1"/>
    <col min="2" max="2" width="19.21875" bestFit="1" customWidth="1"/>
    <col min="3" max="3" width="8.5546875" bestFit="1" customWidth="1"/>
    <col min="4" max="5" width="9.5546875" bestFit="1" customWidth="1"/>
    <col min="6" max="9" width="7.5546875" bestFit="1" customWidth="1"/>
    <col min="10" max="10" width="19" bestFit="1" customWidth="1"/>
    <col min="11" max="13" width="8.5546875" bestFit="1" customWidth="1"/>
    <col min="14" max="14" width="7.5546875" bestFit="1" customWidth="1"/>
    <col min="15" max="17" width="6.5546875" bestFit="1" customWidth="1"/>
    <col min="18" max="18" width="24" bestFit="1" customWidth="1"/>
    <col min="19" max="19" width="23.77734375" bestFit="1" customWidth="1"/>
  </cols>
  <sheetData>
    <row r="3" spans="1:19" x14ac:dyDescent="0.3">
      <c r="B3" s="4" t="s">
        <v>6</v>
      </c>
    </row>
    <row r="4" spans="1:19" x14ac:dyDescent="0.3">
      <c r="B4" t="s">
        <v>1</v>
      </c>
      <c r="J4" t="s">
        <v>7</v>
      </c>
      <c r="R4" t="s">
        <v>8</v>
      </c>
      <c r="S4" t="s">
        <v>9</v>
      </c>
    </row>
    <row r="5" spans="1:19" x14ac:dyDescent="0.3">
      <c r="A5" s="4" t="s">
        <v>0</v>
      </c>
      <c r="B5" s="3">
        <v>1</v>
      </c>
      <c r="C5" s="3">
        <v>2</v>
      </c>
      <c r="D5" s="3">
        <v>3</v>
      </c>
      <c r="E5" s="3">
        <v>4</v>
      </c>
      <c r="F5" s="3">
        <v>5</v>
      </c>
      <c r="G5" s="3">
        <v>6</v>
      </c>
      <c r="H5" s="3">
        <v>7</v>
      </c>
      <c r="I5" s="3">
        <v>8</v>
      </c>
      <c r="J5" s="3">
        <v>1</v>
      </c>
      <c r="K5" s="3">
        <v>2</v>
      </c>
      <c r="L5" s="3">
        <v>3</v>
      </c>
      <c r="M5" s="3">
        <v>4</v>
      </c>
      <c r="N5" s="3">
        <v>5</v>
      </c>
      <c r="O5" s="3">
        <v>6</v>
      </c>
      <c r="P5" s="3">
        <v>7</v>
      </c>
      <c r="Q5" s="3">
        <v>8</v>
      </c>
    </row>
    <row r="6" spans="1:19" x14ac:dyDescent="0.3">
      <c r="A6" s="7">
        <v>1</v>
      </c>
      <c r="B6" s="2">
        <v>3330</v>
      </c>
      <c r="C6" s="2">
        <v>7630</v>
      </c>
      <c r="D6" s="2">
        <v>11940</v>
      </c>
      <c r="E6" s="2">
        <v>14080</v>
      </c>
      <c r="F6" s="2"/>
      <c r="G6" s="2"/>
      <c r="H6" s="2"/>
      <c r="I6" s="2"/>
      <c r="J6" s="2">
        <v>3330</v>
      </c>
      <c r="K6" s="2">
        <v>3815</v>
      </c>
      <c r="L6" s="2">
        <v>3980</v>
      </c>
      <c r="M6" s="2">
        <v>3520</v>
      </c>
      <c r="N6" s="2"/>
      <c r="O6" s="2"/>
      <c r="P6" s="2"/>
      <c r="Q6" s="2"/>
      <c r="R6" s="2">
        <v>36980</v>
      </c>
      <c r="S6" s="2">
        <v>14645</v>
      </c>
    </row>
    <row r="7" spans="1:19" x14ac:dyDescent="0.3">
      <c r="A7" s="7">
        <v>2</v>
      </c>
      <c r="B7" s="2">
        <v>2755</v>
      </c>
      <c r="C7" s="2">
        <v>7960</v>
      </c>
      <c r="D7" s="2">
        <v>14205</v>
      </c>
      <c r="E7" s="2">
        <v>19140</v>
      </c>
      <c r="F7" s="2">
        <v>899</v>
      </c>
      <c r="G7" s="2"/>
      <c r="H7" s="2">
        <v>699</v>
      </c>
      <c r="I7" s="2"/>
      <c r="J7" s="2">
        <v>2755</v>
      </c>
      <c r="K7" s="2">
        <v>3980</v>
      </c>
      <c r="L7" s="2">
        <v>4735</v>
      </c>
      <c r="M7" s="2">
        <v>4785</v>
      </c>
      <c r="N7" s="2">
        <v>645</v>
      </c>
      <c r="O7" s="2"/>
      <c r="P7" s="2">
        <v>65</v>
      </c>
      <c r="Q7" s="2"/>
      <c r="R7" s="2">
        <v>45658</v>
      </c>
      <c r="S7" s="2">
        <v>16965</v>
      </c>
    </row>
    <row r="8" spans="1:19" x14ac:dyDescent="0.3">
      <c r="A8" s="7">
        <v>3</v>
      </c>
      <c r="B8" s="2">
        <v>4080</v>
      </c>
      <c r="C8" s="2">
        <v>6060</v>
      </c>
      <c r="D8" s="2">
        <v>9570</v>
      </c>
      <c r="E8" s="2">
        <v>9280</v>
      </c>
      <c r="F8" s="2"/>
      <c r="G8" s="2"/>
      <c r="H8" s="2">
        <v>1440</v>
      </c>
      <c r="I8" s="2"/>
      <c r="J8" s="2">
        <v>4080</v>
      </c>
      <c r="K8" s="2">
        <v>3030</v>
      </c>
      <c r="L8" s="2">
        <v>3190</v>
      </c>
      <c r="M8" s="2">
        <v>2320</v>
      </c>
      <c r="N8" s="2"/>
      <c r="O8" s="2"/>
      <c r="P8" s="2">
        <v>700</v>
      </c>
      <c r="Q8" s="2"/>
      <c r="R8" s="2">
        <v>30430</v>
      </c>
      <c r="S8" s="2">
        <v>13320</v>
      </c>
    </row>
    <row r="9" spans="1:19" x14ac:dyDescent="0.3">
      <c r="A9" s="7">
        <v>4</v>
      </c>
      <c r="B9" s="2">
        <v>2710</v>
      </c>
      <c r="C9" s="2">
        <v>5820</v>
      </c>
      <c r="D9" s="2">
        <v>9120</v>
      </c>
      <c r="E9" s="2">
        <v>16419</v>
      </c>
      <c r="F9" s="2"/>
      <c r="G9" s="2"/>
      <c r="H9" s="2"/>
      <c r="I9" s="2">
        <v>899</v>
      </c>
      <c r="J9" s="2">
        <v>2710</v>
      </c>
      <c r="K9" s="2">
        <v>2910</v>
      </c>
      <c r="L9" s="2">
        <v>3040</v>
      </c>
      <c r="M9" s="2">
        <v>4654</v>
      </c>
      <c r="N9" s="2"/>
      <c r="O9" s="2"/>
      <c r="P9" s="2"/>
      <c r="Q9" s="2">
        <v>65</v>
      </c>
      <c r="R9" s="2">
        <v>34968</v>
      </c>
      <c r="S9" s="2">
        <v>13379</v>
      </c>
    </row>
    <row r="10" spans="1:19" x14ac:dyDescent="0.3">
      <c r="A10" s="7">
        <v>5</v>
      </c>
      <c r="B10" s="2">
        <v>5085</v>
      </c>
      <c r="C10" s="2">
        <v>12340</v>
      </c>
      <c r="D10" s="2">
        <v>12825</v>
      </c>
      <c r="E10" s="2">
        <v>22900</v>
      </c>
      <c r="F10" s="2"/>
      <c r="G10" s="2"/>
      <c r="H10" s="2"/>
      <c r="I10" s="2">
        <v>1499</v>
      </c>
      <c r="J10" s="2">
        <v>5085</v>
      </c>
      <c r="K10" s="2">
        <v>6170</v>
      </c>
      <c r="L10" s="2">
        <v>4275</v>
      </c>
      <c r="M10" s="2">
        <v>5725</v>
      </c>
      <c r="N10" s="2"/>
      <c r="O10" s="2"/>
      <c r="P10" s="2"/>
      <c r="Q10" s="2">
        <v>250</v>
      </c>
      <c r="R10" s="2">
        <v>54649</v>
      </c>
      <c r="S10" s="2">
        <v>21505</v>
      </c>
    </row>
    <row r="11" spans="1:19" x14ac:dyDescent="0.3">
      <c r="A11" s="7">
        <v>6</v>
      </c>
      <c r="B11" s="2">
        <v>3720</v>
      </c>
      <c r="C11" s="2">
        <v>4660</v>
      </c>
      <c r="D11" s="2">
        <v>12915</v>
      </c>
      <c r="E11" s="2">
        <v>15420</v>
      </c>
      <c r="F11" s="2"/>
      <c r="G11" s="2">
        <v>299</v>
      </c>
      <c r="H11" s="2"/>
      <c r="I11" s="2">
        <v>599</v>
      </c>
      <c r="J11" s="2">
        <v>3720</v>
      </c>
      <c r="K11" s="2">
        <v>2330</v>
      </c>
      <c r="L11" s="2">
        <v>4305</v>
      </c>
      <c r="M11" s="2">
        <v>3855</v>
      </c>
      <c r="N11" s="2"/>
      <c r="O11" s="2">
        <v>98</v>
      </c>
      <c r="P11" s="2"/>
      <c r="Q11" s="2">
        <v>50</v>
      </c>
      <c r="R11" s="2">
        <v>37613</v>
      </c>
      <c r="S11" s="2">
        <v>14358</v>
      </c>
    </row>
    <row r="12" spans="1:19" x14ac:dyDescent="0.3">
      <c r="A12" s="7">
        <v>7</v>
      </c>
      <c r="B12" s="2">
        <v>4715</v>
      </c>
      <c r="C12" s="2">
        <v>6750</v>
      </c>
      <c r="D12" s="2">
        <v>14460</v>
      </c>
      <c r="E12" s="2">
        <v>9540</v>
      </c>
      <c r="F12" s="2"/>
      <c r="G12" s="2"/>
      <c r="H12" s="2"/>
      <c r="I12" s="2"/>
      <c r="J12" s="2">
        <v>4715</v>
      </c>
      <c r="K12" s="2">
        <v>3375</v>
      </c>
      <c r="L12" s="2">
        <v>4820</v>
      </c>
      <c r="M12" s="2">
        <v>2385</v>
      </c>
      <c r="N12" s="2"/>
      <c r="O12" s="2"/>
      <c r="P12" s="2"/>
      <c r="Q12" s="2"/>
      <c r="R12" s="2">
        <v>35465</v>
      </c>
      <c r="S12" s="2">
        <v>15295</v>
      </c>
    </row>
    <row r="13" spans="1:19" x14ac:dyDescent="0.3">
      <c r="A13" s="7">
        <v>8</v>
      </c>
      <c r="B13" s="2">
        <v>5360</v>
      </c>
      <c r="C13" s="2">
        <v>5780</v>
      </c>
      <c r="D13" s="2">
        <v>9819</v>
      </c>
      <c r="E13" s="2">
        <v>16700</v>
      </c>
      <c r="F13" s="2">
        <v>700</v>
      </c>
      <c r="G13" s="2">
        <v>799</v>
      </c>
      <c r="H13" s="2"/>
      <c r="I13" s="2"/>
      <c r="J13" s="2">
        <v>5360</v>
      </c>
      <c r="K13" s="2">
        <v>2890</v>
      </c>
      <c r="L13" s="2">
        <v>3109</v>
      </c>
      <c r="M13" s="2">
        <v>4175</v>
      </c>
      <c r="N13" s="2">
        <v>600</v>
      </c>
      <c r="O13" s="2">
        <v>78</v>
      </c>
      <c r="P13" s="2"/>
      <c r="Q13" s="2"/>
      <c r="R13" s="2">
        <v>39158</v>
      </c>
      <c r="S13" s="2">
        <v>16212</v>
      </c>
    </row>
    <row r="14" spans="1:19" x14ac:dyDescent="0.3">
      <c r="A14" s="7">
        <v>9</v>
      </c>
      <c r="B14" s="2">
        <v>2260</v>
      </c>
      <c r="C14" s="2">
        <v>4860</v>
      </c>
      <c r="D14" s="2">
        <v>3960</v>
      </c>
      <c r="E14" s="2">
        <v>13540</v>
      </c>
      <c r="F14" s="2"/>
      <c r="G14" s="2"/>
      <c r="H14" s="2"/>
      <c r="I14" s="2"/>
      <c r="J14" s="2">
        <v>2260</v>
      </c>
      <c r="K14" s="2">
        <v>2019</v>
      </c>
      <c r="L14" s="2">
        <v>1320</v>
      </c>
      <c r="M14" s="2">
        <v>3385</v>
      </c>
      <c r="N14" s="2"/>
      <c r="O14" s="2"/>
      <c r="P14" s="2"/>
      <c r="Q14" s="2"/>
      <c r="R14" s="2">
        <v>24620</v>
      </c>
      <c r="S14" s="2">
        <v>8984</v>
      </c>
    </row>
    <row r="15" spans="1:19" x14ac:dyDescent="0.3">
      <c r="A15" s="7">
        <v>10</v>
      </c>
      <c r="B15" s="2">
        <v>4055</v>
      </c>
      <c r="C15" s="2">
        <v>7260</v>
      </c>
      <c r="D15" s="2">
        <v>11685</v>
      </c>
      <c r="E15" s="2">
        <v>24349</v>
      </c>
      <c r="F15" s="2"/>
      <c r="G15" s="2"/>
      <c r="H15" s="2"/>
      <c r="I15" s="2"/>
      <c r="J15" s="2">
        <v>4055</v>
      </c>
      <c r="K15" s="2">
        <v>3630</v>
      </c>
      <c r="L15" s="2">
        <v>3895</v>
      </c>
      <c r="M15" s="2">
        <v>6245</v>
      </c>
      <c r="N15" s="2"/>
      <c r="O15" s="2"/>
      <c r="P15" s="2"/>
      <c r="Q15" s="2"/>
      <c r="R15" s="2">
        <v>47349</v>
      </c>
      <c r="S15" s="2">
        <v>17825</v>
      </c>
    </row>
    <row r="16" spans="1:19" x14ac:dyDescent="0.3">
      <c r="A16" s="7">
        <v>11</v>
      </c>
      <c r="B16" s="2">
        <v>2840</v>
      </c>
      <c r="C16" s="2">
        <v>1840</v>
      </c>
      <c r="D16" s="2">
        <v>19680</v>
      </c>
      <c r="E16" s="2">
        <v>10560</v>
      </c>
      <c r="F16" s="2">
        <v>499</v>
      </c>
      <c r="G16" s="2"/>
      <c r="H16" s="2"/>
      <c r="I16" s="2"/>
      <c r="J16" s="2">
        <v>2840</v>
      </c>
      <c r="K16" s="2">
        <v>920</v>
      </c>
      <c r="L16" s="2">
        <v>6560</v>
      </c>
      <c r="M16" s="2">
        <v>2640</v>
      </c>
      <c r="N16" s="2">
        <v>30</v>
      </c>
      <c r="O16" s="2"/>
      <c r="P16" s="2"/>
      <c r="Q16" s="2"/>
      <c r="R16" s="2">
        <v>35419</v>
      </c>
      <c r="S16" s="2">
        <v>12990</v>
      </c>
    </row>
    <row r="17" spans="1:19" x14ac:dyDescent="0.3">
      <c r="A17" s="7">
        <v>12</v>
      </c>
      <c r="B17" s="2">
        <v>3895</v>
      </c>
      <c r="C17" s="2">
        <v>11090</v>
      </c>
      <c r="D17" s="2">
        <v>14805</v>
      </c>
      <c r="E17" s="2">
        <v>14900</v>
      </c>
      <c r="F17" s="2"/>
      <c r="G17" s="2"/>
      <c r="H17" s="2"/>
      <c r="I17" s="2">
        <v>399</v>
      </c>
      <c r="J17" s="2">
        <v>3895</v>
      </c>
      <c r="K17" s="2">
        <v>5545</v>
      </c>
      <c r="L17" s="2">
        <v>4935</v>
      </c>
      <c r="M17" s="2">
        <v>3725</v>
      </c>
      <c r="N17" s="2"/>
      <c r="O17" s="2"/>
      <c r="P17" s="2"/>
      <c r="Q17" s="2">
        <v>200</v>
      </c>
      <c r="R17" s="2">
        <v>45089</v>
      </c>
      <c r="S17" s="2">
        <v>18300</v>
      </c>
    </row>
    <row r="18" spans="1:19" x14ac:dyDescent="0.3">
      <c r="A18" s="7" t="s">
        <v>5</v>
      </c>
      <c r="B18" s="2">
        <v>44805</v>
      </c>
      <c r="C18" s="2">
        <v>82050</v>
      </c>
      <c r="D18" s="2">
        <v>144984</v>
      </c>
      <c r="E18" s="2">
        <v>186828</v>
      </c>
      <c r="F18" s="2">
        <v>2098</v>
      </c>
      <c r="G18" s="2">
        <v>1098</v>
      </c>
      <c r="H18" s="2">
        <v>2139</v>
      </c>
      <c r="I18" s="2">
        <v>3396</v>
      </c>
      <c r="J18" s="2">
        <v>44805</v>
      </c>
      <c r="K18" s="2">
        <v>40614</v>
      </c>
      <c r="L18" s="2">
        <v>48164</v>
      </c>
      <c r="M18" s="2">
        <v>47414</v>
      </c>
      <c r="N18" s="2">
        <v>1275</v>
      </c>
      <c r="O18" s="2">
        <v>176</v>
      </c>
      <c r="P18" s="2">
        <v>765</v>
      </c>
      <c r="Q18" s="2">
        <v>565</v>
      </c>
      <c r="R18" s="2">
        <v>467398</v>
      </c>
      <c r="S18" s="2">
        <v>183778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F3FA9-ECBC-4EB8-955C-1EFBFA74E990}">
  <dimension ref="A3:E1003"/>
  <sheetViews>
    <sheetView workbookViewId="0">
      <selection activeCell="X6" sqref="X6"/>
    </sheetView>
  </sheetViews>
  <sheetFormatPr defaultRowHeight="14.4" x14ac:dyDescent="0.3"/>
  <cols>
    <col min="1" max="1" width="12.5546875" bestFit="1" customWidth="1"/>
    <col min="2" max="2" width="14.88671875" bestFit="1" customWidth="1"/>
  </cols>
  <sheetData>
    <row r="3" spans="1:5" x14ac:dyDescent="0.3">
      <c r="A3" s="4" t="s">
        <v>0</v>
      </c>
      <c r="B3" t="s">
        <v>10</v>
      </c>
    </row>
    <row r="4" spans="1:5" x14ac:dyDescent="0.3">
      <c r="A4" s="5" t="s">
        <v>11</v>
      </c>
      <c r="B4" s="3">
        <v>12</v>
      </c>
      <c r="D4" s="5" t="s">
        <v>11</v>
      </c>
      <c r="E4" s="3">
        <v>12</v>
      </c>
    </row>
    <row r="5" spans="1:5" x14ac:dyDescent="0.3">
      <c r="A5" s="5" t="s">
        <v>12</v>
      </c>
      <c r="B5" s="3">
        <v>10</v>
      </c>
      <c r="D5" s="5" t="s">
        <v>12</v>
      </c>
      <c r="E5" s="3">
        <v>10</v>
      </c>
    </row>
    <row r="6" spans="1:5" x14ac:dyDescent="0.3">
      <c r="A6" s="5" t="s">
        <v>13</v>
      </c>
      <c r="B6" s="3">
        <v>10</v>
      </c>
      <c r="D6" s="5" t="s">
        <v>13</v>
      </c>
      <c r="E6" s="3">
        <v>10</v>
      </c>
    </row>
    <row r="7" spans="1:5" x14ac:dyDescent="0.3">
      <c r="A7" s="5" t="s">
        <v>14</v>
      </c>
      <c r="B7" s="3">
        <v>10</v>
      </c>
      <c r="D7" s="5" t="s">
        <v>14</v>
      </c>
      <c r="E7" s="3">
        <v>10</v>
      </c>
    </row>
    <row r="8" spans="1:5" x14ac:dyDescent="0.3">
      <c r="A8" s="5" t="s">
        <v>15</v>
      </c>
      <c r="B8" s="3">
        <v>10</v>
      </c>
      <c r="D8" s="5" t="s">
        <v>15</v>
      </c>
      <c r="E8" s="3">
        <v>10</v>
      </c>
    </row>
    <row r="9" spans="1:5" x14ac:dyDescent="0.3">
      <c r="A9" s="5" t="s">
        <v>16</v>
      </c>
      <c r="B9" s="3">
        <v>9</v>
      </c>
    </row>
    <row r="10" spans="1:5" x14ac:dyDescent="0.3">
      <c r="A10" s="5" t="s">
        <v>17</v>
      </c>
      <c r="B10" s="3">
        <v>9</v>
      </c>
    </row>
    <row r="11" spans="1:5" x14ac:dyDescent="0.3">
      <c r="A11" s="5" t="s">
        <v>18</v>
      </c>
      <c r="B11" s="3">
        <v>8</v>
      </c>
    </row>
    <row r="12" spans="1:5" x14ac:dyDescent="0.3">
      <c r="A12" s="5" t="s">
        <v>19</v>
      </c>
      <c r="B12" s="3">
        <v>8</v>
      </c>
    </row>
    <row r="13" spans="1:5" x14ac:dyDescent="0.3">
      <c r="A13" s="5" t="s">
        <v>20</v>
      </c>
      <c r="B13" s="3">
        <v>8</v>
      </c>
    </row>
    <row r="14" spans="1:5" x14ac:dyDescent="0.3">
      <c r="A14" s="5" t="s">
        <v>21</v>
      </c>
      <c r="B14" s="3">
        <v>7</v>
      </c>
    </row>
    <row r="15" spans="1:5" x14ac:dyDescent="0.3">
      <c r="A15" s="5" t="s">
        <v>22</v>
      </c>
      <c r="B15" s="3">
        <v>7</v>
      </c>
    </row>
    <row r="16" spans="1:5" x14ac:dyDescent="0.3">
      <c r="A16" s="5" t="s">
        <v>23</v>
      </c>
      <c r="B16" s="3">
        <v>6</v>
      </c>
    </row>
    <row r="17" spans="1:2" x14ac:dyDescent="0.3">
      <c r="A17" s="5" t="s">
        <v>24</v>
      </c>
      <c r="B17" s="3">
        <v>4</v>
      </c>
    </row>
    <row r="18" spans="1:2" x14ac:dyDescent="0.3">
      <c r="A18" s="5" t="s">
        <v>25</v>
      </c>
      <c r="B18" s="3">
        <v>4</v>
      </c>
    </row>
    <row r="19" spans="1:2" x14ac:dyDescent="0.3">
      <c r="A19" s="5" t="s">
        <v>26</v>
      </c>
      <c r="B19" s="3">
        <v>4</v>
      </c>
    </row>
    <row r="20" spans="1:2" x14ac:dyDescent="0.3">
      <c r="A20" s="5" t="s">
        <v>27</v>
      </c>
      <c r="B20" s="3">
        <v>4</v>
      </c>
    </row>
    <row r="21" spans="1:2" x14ac:dyDescent="0.3">
      <c r="A21" s="5" t="s">
        <v>28</v>
      </c>
      <c r="B21" s="3">
        <v>4</v>
      </c>
    </row>
    <row r="22" spans="1:2" x14ac:dyDescent="0.3">
      <c r="A22" s="5" t="s">
        <v>29</v>
      </c>
      <c r="B22" s="3">
        <v>4</v>
      </c>
    </row>
    <row r="23" spans="1:2" x14ac:dyDescent="0.3">
      <c r="A23" s="5" t="s">
        <v>30</v>
      </c>
      <c r="B23" s="3">
        <v>4</v>
      </c>
    </row>
    <row r="24" spans="1:2" x14ac:dyDescent="0.3">
      <c r="A24" s="5" t="s">
        <v>31</v>
      </c>
      <c r="B24" s="3">
        <v>4</v>
      </c>
    </row>
    <row r="25" spans="1:2" x14ac:dyDescent="0.3">
      <c r="A25" s="5" t="s">
        <v>32</v>
      </c>
      <c r="B25" s="3">
        <v>4</v>
      </c>
    </row>
    <row r="26" spans="1:2" x14ac:dyDescent="0.3">
      <c r="A26" s="5" t="s">
        <v>33</v>
      </c>
      <c r="B26" s="3">
        <v>4</v>
      </c>
    </row>
    <row r="27" spans="1:2" x14ac:dyDescent="0.3">
      <c r="A27" s="5" t="s">
        <v>34</v>
      </c>
      <c r="B27" s="3">
        <v>4</v>
      </c>
    </row>
    <row r="28" spans="1:2" x14ac:dyDescent="0.3">
      <c r="A28" s="5" t="s">
        <v>35</v>
      </c>
      <c r="B28" s="3">
        <v>4</v>
      </c>
    </row>
    <row r="29" spans="1:2" x14ac:dyDescent="0.3">
      <c r="A29" s="5" t="s">
        <v>36</v>
      </c>
      <c r="B29" s="3">
        <v>4</v>
      </c>
    </row>
    <row r="30" spans="1:2" x14ac:dyDescent="0.3">
      <c r="A30" s="5" t="s">
        <v>37</v>
      </c>
      <c r="B30" s="3">
        <v>4</v>
      </c>
    </row>
    <row r="31" spans="1:2" x14ac:dyDescent="0.3">
      <c r="A31" s="5" t="s">
        <v>38</v>
      </c>
      <c r="B31" s="3">
        <v>4</v>
      </c>
    </row>
    <row r="32" spans="1:2" x14ac:dyDescent="0.3">
      <c r="A32" s="5" t="s">
        <v>39</v>
      </c>
      <c r="B32" s="3">
        <v>4</v>
      </c>
    </row>
    <row r="33" spans="1:2" x14ac:dyDescent="0.3">
      <c r="A33" s="5" t="s">
        <v>40</v>
      </c>
      <c r="B33" s="3">
        <v>4</v>
      </c>
    </row>
    <row r="34" spans="1:2" x14ac:dyDescent="0.3">
      <c r="A34" s="5" t="s">
        <v>41</v>
      </c>
      <c r="B34" s="3">
        <v>4</v>
      </c>
    </row>
    <row r="35" spans="1:2" x14ac:dyDescent="0.3">
      <c r="A35" s="5" t="s">
        <v>42</v>
      </c>
      <c r="B35" s="3">
        <v>4</v>
      </c>
    </row>
    <row r="36" spans="1:2" x14ac:dyDescent="0.3">
      <c r="A36" s="5" t="s">
        <v>43</v>
      </c>
      <c r="B36" s="3">
        <v>4</v>
      </c>
    </row>
    <row r="37" spans="1:2" x14ac:dyDescent="0.3">
      <c r="A37" s="5" t="s">
        <v>44</v>
      </c>
      <c r="B37" s="3">
        <v>4</v>
      </c>
    </row>
    <row r="38" spans="1:2" x14ac:dyDescent="0.3">
      <c r="A38" s="5" t="s">
        <v>45</v>
      </c>
      <c r="B38" s="3">
        <v>4</v>
      </c>
    </row>
    <row r="39" spans="1:2" x14ac:dyDescent="0.3">
      <c r="A39" s="5" t="s">
        <v>46</v>
      </c>
      <c r="B39" s="3">
        <v>4</v>
      </c>
    </row>
    <row r="40" spans="1:2" x14ac:dyDescent="0.3">
      <c r="A40" s="5" t="s">
        <v>47</v>
      </c>
      <c r="B40" s="3">
        <v>4</v>
      </c>
    </row>
    <row r="41" spans="1:2" x14ac:dyDescent="0.3">
      <c r="A41" s="5" t="s">
        <v>48</v>
      </c>
      <c r="B41" s="3">
        <v>4</v>
      </c>
    </row>
    <row r="42" spans="1:2" x14ac:dyDescent="0.3">
      <c r="A42" s="5" t="s">
        <v>49</v>
      </c>
      <c r="B42" s="3">
        <v>4</v>
      </c>
    </row>
    <row r="43" spans="1:2" x14ac:dyDescent="0.3">
      <c r="A43" s="5" t="s">
        <v>50</v>
      </c>
      <c r="B43" s="3">
        <v>4</v>
      </c>
    </row>
    <row r="44" spans="1:2" x14ac:dyDescent="0.3">
      <c r="A44" s="5" t="s">
        <v>51</v>
      </c>
      <c r="B44" s="3">
        <v>4</v>
      </c>
    </row>
    <row r="45" spans="1:2" x14ac:dyDescent="0.3">
      <c r="A45" s="5" t="s">
        <v>52</v>
      </c>
      <c r="B45" s="3">
        <v>4</v>
      </c>
    </row>
    <row r="46" spans="1:2" x14ac:dyDescent="0.3">
      <c r="A46" s="5" t="s">
        <v>53</v>
      </c>
      <c r="B46" s="3">
        <v>4</v>
      </c>
    </row>
    <row r="47" spans="1:2" x14ac:dyDescent="0.3">
      <c r="A47" s="5" t="s">
        <v>54</v>
      </c>
      <c r="B47" s="3">
        <v>4</v>
      </c>
    </row>
    <row r="48" spans="1:2" x14ac:dyDescent="0.3">
      <c r="A48" s="5" t="s">
        <v>55</v>
      </c>
      <c r="B48" s="3">
        <v>4</v>
      </c>
    </row>
    <row r="49" spans="1:2" x14ac:dyDescent="0.3">
      <c r="A49" s="5" t="s">
        <v>56</v>
      </c>
      <c r="B49" s="3">
        <v>4</v>
      </c>
    </row>
    <row r="50" spans="1:2" x14ac:dyDescent="0.3">
      <c r="A50" s="5" t="s">
        <v>57</v>
      </c>
      <c r="B50" s="3">
        <v>4</v>
      </c>
    </row>
    <row r="51" spans="1:2" x14ac:dyDescent="0.3">
      <c r="A51" s="5" t="s">
        <v>58</v>
      </c>
      <c r="B51" s="3">
        <v>4</v>
      </c>
    </row>
    <row r="52" spans="1:2" x14ac:dyDescent="0.3">
      <c r="A52" s="5" t="s">
        <v>59</v>
      </c>
      <c r="B52" s="3">
        <v>4</v>
      </c>
    </row>
    <row r="53" spans="1:2" x14ac:dyDescent="0.3">
      <c r="A53" s="5" t="s">
        <v>60</v>
      </c>
      <c r="B53" s="3">
        <v>4</v>
      </c>
    </row>
    <row r="54" spans="1:2" x14ac:dyDescent="0.3">
      <c r="A54" s="5" t="s">
        <v>61</v>
      </c>
      <c r="B54" s="3">
        <v>4</v>
      </c>
    </row>
    <row r="55" spans="1:2" x14ac:dyDescent="0.3">
      <c r="A55" s="5" t="s">
        <v>62</v>
      </c>
      <c r="B55" s="3">
        <v>4</v>
      </c>
    </row>
    <row r="56" spans="1:2" x14ac:dyDescent="0.3">
      <c r="A56" s="5" t="s">
        <v>63</v>
      </c>
      <c r="B56" s="3">
        <v>4</v>
      </c>
    </row>
    <row r="57" spans="1:2" x14ac:dyDescent="0.3">
      <c r="A57" s="5" t="s">
        <v>64</v>
      </c>
      <c r="B57" s="3">
        <v>4</v>
      </c>
    </row>
    <row r="58" spans="1:2" x14ac:dyDescent="0.3">
      <c r="A58" s="5" t="s">
        <v>65</v>
      </c>
      <c r="B58" s="3">
        <v>4</v>
      </c>
    </row>
    <row r="59" spans="1:2" x14ac:dyDescent="0.3">
      <c r="A59" s="5" t="s">
        <v>66</v>
      </c>
      <c r="B59" s="3">
        <v>4</v>
      </c>
    </row>
    <row r="60" spans="1:2" x14ac:dyDescent="0.3">
      <c r="A60" s="5" t="s">
        <v>67</v>
      </c>
      <c r="B60" s="3">
        <v>4</v>
      </c>
    </row>
    <row r="61" spans="1:2" x14ac:dyDescent="0.3">
      <c r="A61" s="5" t="s">
        <v>68</v>
      </c>
      <c r="B61" s="3">
        <v>4</v>
      </c>
    </row>
    <row r="62" spans="1:2" x14ac:dyDescent="0.3">
      <c r="A62" s="5" t="s">
        <v>69</v>
      </c>
      <c r="B62" s="3">
        <v>4</v>
      </c>
    </row>
    <row r="63" spans="1:2" x14ac:dyDescent="0.3">
      <c r="A63" s="5" t="s">
        <v>70</v>
      </c>
      <c r="B63" s="3">
        <v>4</v>
      </c>
    </row>
    <row r="64" spans="1:2" x14ac:dyDescent="0.3">
      <c r="A64" s="5" t="s">
        <v>71</v>
      </c>
      <c r="B64" s="3">
        <v>4</v>
      </c>
    </row>
    <row r="65" spans="1:2" x14ac:dyDescent="0.3">
      <c r="A65" s="5" t="s">
        <v>72</v>
      </c>
      <c r="B65" s="3">
        <v>4</v>
      </c>
    </row>
    <row r="66" spans="1:2" x14ac:dyDescent="0.3">
      <c r="A66" s="5" t="s">
        <v>73</v>
      </c>
      <c r="B66" s="3">
        <v>4</v>
      </c>
    </row>
    <row r="67" spans="1:2" x14ac:dyDescent="0.3">
      <c r="A67" s="5" t="s">
        <v>74</v>
      </c>
      <c r="B67" s="3">
        <v>4</v>
      </c>
    </row>
    <row r="68" spans="1:2" x14ac:dyDescent="0.3">
      <c r="A68" s="5" t="s">
        <v>75</v>
      </c>
      <c r="B68" s="3">
        <v>4</v>
      </c>
    </row>
    <row r="69" spans="1:2" x14ac:dyDescent="0.3">
      <c r="A69" s="5" t="s">
        <v>76</v>
      </c>
      <c r="B69" s="3">
        <v>4</v>
      </c>
    </row>
    <row r="70" spans="1:2" x14ac:dyDescent="0.3">
      <c r="A70" s="5" t="s">
        <v>77</v>
      </c>
      <c r="B70" s="3">
        <v>4</v>
      </c>
    </row>
    <row r="71" spans="1:2" x14ac:dyDescent="0.3">
      <c r="A71" s="5" t="s">
        <v>78</v>
      </c>
      <c r="B71" s="3">
        <v>4</v>
      </c>
    </row>
    <row r="72" spans="1:2" x14ac:dyDescent="0.3">
      <c r="A72" s="5" t="s">
        <v>79</v>
      </c>
      <c r="B72" s="3">
        <v>4</v>
      </c>
    </row>
    <row r="73" spans="1:2" x14ac:dyDescent="0.3">
      <c r="A73" s="5" t="s">
        <v>80</v>
      </c>
      <c r="B73" s="3">
        <v>4</v>
      </c>
    </row>
    <row r="74" spans="1:2" x14ac:dyDescent="0.3">
      <c r="A74" s="5" t="s">
        <v>81</v>
      </c>
      <c r="B74" s="3">
        <v>4</v>
      </c>
    </row>
    <row r="75" spans="1:2" x14ac:dyDescent="0.3">
      <c r="A75" s="5" t="s">
        <v>82</v>
      </c>
      <c r="B75" s="3">
        <v>4</v>
      </c>
    </row>
    <row r="76" spans="1:2" x14ac:dyDescent="0.3">
      <c r="A76" s="5" t="s">
        <v>83</v>
      </c>
      <c r="B76" s="3">
        <v>4</v>
      </c>
    </row>
    <row r="77" spans="1:2" x14ac:dyDescent="0.3">
      <c r="A77" s="5" t="s">
        <v>84</v>
      </c>
      <c r="B77" s="3">
        <v>4</v>
      </c>
    </row>
    <row r="78" spans="1:2" x14ac:dyDescent="0.3">
      <c r="A78" s="5" t="s">
        <v>85</v>
      </c>
      <c r="B78" s="3">
        <v>4</v>
      </c>
    </row>
    <row r="79" spans="1:2" x14ac:dyDescent="0.3">
      <c r="A79" s="5" t="s">
        <v>86</v>
      </c>
      <c r="B79" s="3">
        <v>4</v>
      </c>
    </row>
    <row r="80" spans="1:2" x14ac:dyDescent="0.3">
      <c r="A80" s="5" t="s">
        <v>87</v>
      </c>
      <c r="B80" s="3">
        <v>4</v>
      </c>
    </row>
    <row r="81" spans="1:2" x14ac:dyDescent="0.3">
      <c r="A81" s="5" t="s">
        <v>88</v>
      </c>
      <c r="B81" s="3">
        <v>4</v>
      </c>
    </row>
    <row r="82" spans="1:2" x14ac:dyDescent="0.3">
      <c r="A82" s="5" t="s">
        <v>89</v>
      </c>
      <c r="B82" s="3">
        <v>4</v>
      </c>
    </row>
    <row r="83" spans="1:2" x14ac:dyDescent="0.3">
      <c r="A83" s="5" t="s">
        <v>90</v>
      </c>
      <c r="B83" s="3">
        <v>4</v>
      </c>
    </row>
    <row r="84" spans="1:2" x14ac:dyDescent="0.3">
      <c r="A84" s="5" t="s">
        <v>91</v>
      </c>
      <c r="B84" s="3">
        <v>4</v>
      </c>
    </row>
    <row r="85" spans="1:2" x14ac:dyDescent="0.3">
      <c r="A85" s="5" t="s">
        <v>92</v>
      </c>
      <c r="B85" s="3">
        <v>4</v>
      </c>
    </row>
    <row r="86" spans="1:2" x14ac:dyDescent="0.3">
      <c r="A86" s="5" t="s">
        <v>93</v>
      </c>
      <c r="B86" s="3">
        <v>4</v>
      </c>
    </row>
    <row r="87" spans="1:2" x14ac:dyDescent="0.3">
      <c r="A87" s="5" t="s">
        <v>94</v>
      </c>
      <c r="B87" s="3">
        <v>4</v>
      </c>
    </row>
    <row r="88" spans="1:2" x14ac:dyDescent="0.3">
      <c r="A88" s="5" t="s">
        <v>95</v>
      </c>
      <c r="B88" s="3">
        <v>4</v>
      </c>
    </row>
    <row r="89" spans="1:2" x14ac:dyDescent="0.3">
      <c r="A89" s="5" t="s">
        <v>96</v>
      </c>
      <c r="B89" s="3">
        <v>4</v>
      </c>
    </row>
    <row r="90" spans="1:2" x14ac:dyDescent="0.3">
      <c r="A90" s="5" t="s">
        <v>97</v>
      </c>
      <c r="B90" s="3">
        <v>4</v>
      </c>
    </row>
    <row r="91" spans="1:2" x14ac:dyDescent="0.3">
      <c r="A91" s="5" t="s">
        <v>98</v>
      </c>
      <c r="B91" s="3">
        <v>4</v>
      </c>
    </row>
    <row r="92" spans="1:2" x14ac:dyDescent="0.3">
      <c r="A92" s="5" t="s">
        <v>99</v>
      </c>
      <c r="B92" s="3">
        <v>4</v>
      </c>
    </row>
    <row r="93" spans="1:2" x14ac:dyDescent="0.3">
      <c r="A93" s="5" t="s">
        <v>100</v>
      </c>
      <c r="B93" s="3">
        <v>4</v>
      </c>
    </row>
    <row r="94" spans="1:2" x14ac:dyDescent="0.3">
      <c r="A94" s="5" t="s">
        <v>101</v>
      </c>
      <c r="B94" s="3">
        <v>4</v>
      </c>
    </row>
    <row r="95" spans="1:2" x14ac:dyDescent="0.3">
      <c r="A95" s="5" t="s">
        <v>102</v>
      </c>
      <c r="B95" s="3">
        <v>4</v>
      </c>
    </row>
    <row r="96" spans="1:2" x14ac:dyDescent="0.3">
      <c r="A96" s="5" t="s">
        <v>103</v>
      </c>
      <c r="B96" s="3">
        <v>4</v>
      </c>
    </row>
    <row r="97" spans="1:2" x14ac:dyDescent="0.3">
      <c r="A97" s="5" t="s">
        <v>104</v>
      </c>
      <c r="B97" s="3">
        <v>4</v>
      </c>
    </row>
    <row r="98" spans="1:2" x14ac:dyDescent="0.3">
      <c r="A98" s="5" t="s">
        <v>105</v>
      </c>
      <c r="B98" s="3">
        <v>4</v>
      </c>
    </row>
    <row r="99" spans="1:2" x14ac:dyDescent="0.3">
      <c r="A99" s="5" t="s">
        <v>106</v>
      </c>
      <c r="B99" s="3">
        <v>4</v>
      </c>
    </row>
    <row r="100" spans="1:2" x14ac:dyDescent="0.3">
      <c r="A100" s="5" t="s">
        <v>107</v>
      </c>
      <c r="B100" s="3">
        <v>4</v>
      </c>
    </row>
    <row r="101" spans="1:2" x14ac:dyDescent="0.3">
      <c r="A101" s="5" t="s">
        <v>108</v>
      </c>
      <c r="B101" s="3">
        <v>4</v>
      </c>
    </row>
    <row r="102" spans="1:2" x14ac:dyDescent="0.3">
      <c r="A102" s="5" t="s">
        <v>109</v>
      </c>
      <c r="B102" s="3">
        <v>4</v>
      </c>
    </row>
    <row r="103" spans="1:2" x14ac:dyDescent="0.3">
      <c r="A103" s="5" t="s">
        <v>110</v>
      </c>
      <c r="B103" s="3">
        <v>4</v>
      </c>
    </row>
    <row r="104" spans="1:2" x14ac:dyDescent="0.3">
      <c r="A104" s="5" t="s">
        <v>111</v>
      </c>
      <c r="B104" s="3">
        <v>4</v>
      </c>
    </row>
    <row r="105" spans="1:2" x14ac:dyDescent="0.3">
      <c r="A105" s="5" t="s">
        <v>112</v>
      </c>
      <c r="B105" s="3">
        <v>4</v>
      </c>
    </row>
    <row r="106" spans="1:2" x14ac:dyDescent="0.3">
      <c r="A106" s="5" t="s">
        <v>113</v>
      </c>
      <c r="B106" s="3">
        <v>4</v>
      </c>
    </row>
    <row r="107" spans="1:2" x14ac:dyDescent="0.3">
      <c r="A107" s="5" t="s">
        <v>114</v>
      </c>
      <c r="B107" s="3">
        <v>4</v>
      </c>
    </row>
    <row r="108" spans="1:2" x14ac:dyDescent="0.3">
      <c r="A108" s="5" t="s">
        <v>115</v>
      </c>
      <c r="B108" s="3">
        <v>4</v>
      </c>
    </row>
    <row r="109" spans="1:2" x14ac:dyDescent="0.3">
      <c r="A109" s="5" t="s">
        <v>116</v>
      </c>
      <c r="B109" s="3">
        <v>4</v>
      </c>
    </row>
    <row r="110" spans="1:2" x14ac:dyDescent="0.3">
      <c r="A110" s="5" t="s">
        <v>117</v>
      </c>
      <c r="B110" s="3">
        <v>4</v>
      </c>
    </row>
    <row r="111" spans="1:2" x14ac:dyDescent="0.3">
      <c r="A111" s="5" t="s">
        <v>118</v>
      </c>
      <c r="B111" s="3">
        <v>4</v>
      </c>
    </row>
    <row r="112" spans="1:2" x14ac:dyDescent="0.3">
      <c r="A112" s="5" t="s">
        <v>119</v>
      </c>
      <c r="B112" s="3">
        <v>4</v>
      </c>
    </row>
    <row r="113" spans="1:2" x14ac:dyDescent="0.3">
      <c r="A113" s="5" t="s">
        <v>120</v>
      </c>
      <c r="B113" s="3">
        <v>4</v>
      </c>
    </row>
    <row r="114" spans="1:2" x14ac:dyDescent="0.3">
      <c r="A114" s="5" t="s">
        <v>121</v>
      </c>
      <c r="B114" s="3">
        <v>4</v>
      </c>
    </row>
    <row r="115" spans="1:2" x14ac:dyDescent="0.3">
      <c r="A115" s="5" t="s">
        <v>122</v>
      </c>
      <c r="B115" s="3">
        <v>4</v>
      </c>
    </row>
    <row r="116" spans="1:2" x14ac:dyDescent="0.3">
      <c r="A116" s="5" t="s">
        <v>123</v>
      </c>
      <c r="B116" s="3">
        <v>4</v>
      </c>
    </row>
    <row r="117" spans="1:2" x14ac:dyDescent="0.3">
      <c r="A117" s="5" t="s">
        <v>124</v>
      </c>
      <c r="B117" s="3">
        <v>4</v>
      </c>
    </row>
    <row r="118" spans="1:2" x14ac:dyDescent="0.3">
      <c r="A118" s="5" t="s">
        <v>125</v>
      </c>
      <c r="B118" s="3">
        <v>4</v>
      </c>
    </row>
    <row r="119" spans="1:2" x14ac:dyDescent="0.3">
      <c r="A119" s="5" t="s">
        <v>126</v>
      </c>
      <c r="B119" s="3">
        <v>4</v>
      </c>
    </row>
    <row r="120" spans="1:2" x14ac:dyDescent="0.3">
      <c r="A120" s="5" t="s">
        <v>127</v>
      </c>
      <c r="B120" s="3">
        <v>4</v>
      </c>
    </row>
    <row r="121" spans="1:2" x14ac:dyDescent="0.3">
      <c r="A121" s="5" t="s">
        <v>128</v>
      </c>
      <c r="B121" s="3">
        <v>4</v>
      </c>
    </row>
    <row r="122" spans="1:2" x14ac:dyDescent="0.3">
      <c r="A122" s="5" t="s">
        <v>129</v>
      </c>
      <c r="B122" s="3">
        <v>4</v>
      </c>
    </row>
    <row r="123" spans="1:2" x14ac:dyDescent="0.3">
      <c r="A123" s="5" t="s">
        <v>130</v>
      </c>
      <c r="B123" s="3">
        <v>4</v>
      </c>
    </row>
    <row r="124" spans="1:2" x14ac:dyDescent="0.3">
      <c r="A124" s="5" t="s">
        <v>131</v>
      </c>
      <c r="B124" s="3">
        <v>4</v>
      </c>
    </row>
    <row r="125" spans="1:2" x14ac:dyDescent="0.3">
      <c r="A125" s="5" t="s">
        <v>132</v>
      </c>
      <c r="B125" s="3">
        <v>4</v>
      </c>
    </row>
    <row r="126" spans="1:2" x14ac:dyDescent="0.3">
      <c r="A126" s="5" t="s">
        <v>133</v>
      </c>
      <c r="B126" s="3">
        <v>4</v>
      </c>
    </row>
    <row r="127" spans="1:2" x14ac:dyDescent="0.3">
      <c r="A127" s="5" t="s">
        <v>134</v>
      </c>
      <c r="B127" s="3">
        <v>4</v>
      </c>
    </row>
    <row r="128" spans="1:2" x14ac:dyDescent="0.3">
      <c r="A128" s="5" t="s">
        <v>135</v>
      </c>
      <c r="B128" s="3">
        <v>4</v>
      </c>
    </row>
    <row r="129" spans="1:2" x14ac:dyDescent="0.3">
      <c r="A129" s="5" t="s">
        <v>136</v>
      </c>
      <c r="B129" s="3">
        <v>4</v>
      </c>
    </row>
    <row r="130" spans="1:2" x14ac:dyDescent="0.3">
      <c r="A130" s="5" t="s">
        <v>137</v>
      </c>
      <c r="B130" s="3">
        <v>4</v>
      </c>
    </row>
    <row r="131" spans="1:2" x14ac:dyDescent="0.3">
      <c r="A131" s="5" t="s">
        <v>138</v>
      </c>
      <c r="B131" s="3">
        <v>4</v>
      </c>
    </row>
    <row r="132" spans="1:2" x14ac:dyDescent="0.3">
      <c r="A132" s="5" t="s">
        <v>139</v>
      </c>
      <c r="B132" s="3">
        <v>4</v>
      </c>
    </row>
    <row r="133" spans="1:2" x14ac:dyDescent="0.3">
      <c r="A133" s="5" t="s">
        <v>140</v>
      </c>
      <c r="B133" s="3">
        <v>4</v>
      </c>
    </row>
    <row r="134" spans="1:2" x14ac:dyDescent="0.3">
      <c r="A134" s="5" t="s">
        <v>141</v>
      </c>
      <c r="B134" s="3">
        <v>4</v>
      </c>
    </row>
    <row r="135" spans="1:2" x14ac:dyDescent="0.3">
      <c r="A135" s="5" t="s">
        <v>142</v>
      </c>
      <c r="B135" s="3">
        <v>4</v>
      </c>
    </row>
    <row r="136" spans="1:2" x14ac:dyDescent="0.3">
      <c r="A136" s="5" t="s">
        <v>143</v>
      </c>
      <c r="B136" s="3">
        <v>4</v>
      </c>
    </row>
    <row r="137" spans="1:2" x14ac:dyDescent="0.3">
      <c r="A137" s="5" t="s">
        <v>144</v>
      </c>
      <c r="B137" s="3">
        <v>4</v>
      </c>
    </row>
    <row r="138" spans="1:2" x14ac:dyDescent="0.3">
      <c r="A138" s="5" t="s">
        <v>145</v>
      </c>
      <c r="B138" s="3">
        <v>4</v>
      </c>
    </row>
    <row r="139" spans="1:2" x14ac:dyDescent="0.3">
      <c r="A139" s="5" t="s">
        <v>146</v>
      </c>
      <c r="B139" s="3">
        <v>4</v>
      </c>
    </row>
    <row r="140" spans="1:2" x14ac:dyDescent="0.3">
      <c r="A140" s="5" t="s">
        <v>147</v>
      </c>
      <c r="B140" s="3">
        <v>4</v>
      </c>
    </row>
    <row r="141" spans="1:2" x14ac:dyDescent="0.3">
      <c r="A141" s="5" t="s">
        <v>148</v>
      </c>
      <c r="B141" s="3">
        <v>4</v>
      </c>
    </row>
    <row r="142" spans="1:2" x14ac:dyDescent="0.3">
      <c r="A142" s="5" t="s">
        <v>149</v>
      </c>
      <c r="B142" s="3">
        <v>4</v>
      </c>
    </row>
    <row r="143" spans="1:2" x14ac:dyDescent="0.3">
      <c r="A143" s="5" t="s">
        <v>150</v>
      </c>
      <c r="B143" s="3">
        <v>4</v>
      </c>
    </row>
    <row r="144" spans="1:2" x14ac:dyDescent="0.3">
      <c r="A144" s="5" t="s">
        <v>151</v>
      </c>
      <c r="B144" s="3">
        <v>4</v>
      </c>
    </row>
    <row r="145" spans="1:2" x14ac:dyDescent="0.3">
      <c r="A145" s="5" t="s">
        <v>152</v>
      </c>
      <c r="B145" s="3">
        <v>4</v>
      </c>
    </row>
    <row r="146" spans="1:2" x14ac:dyDescent="0.3">
      <c r="A146" s="5" t="s">
        <v>153</v>
      </c>
      <c r="B146" s="3">
        <v>4</v>
      </c>
    </row>
    <row r="147" spans="1:2" x14ac:dyDescent="0.3">
      <c r="A147" s="5" t="s">
        <v>154</v>
      </c>
      <c r="B147" s="3">
        <v>4</v>
      </c>
    </row>
    <row r="148" spans="1:2" x14ac:dyDescent="0.3">
      <c r="A148" s="5" t="s">
        <v>155</v>
      </c>
      <c r="B148" s="3">
        <v>4</v>
      </c>
    </row>
    <row r="149" spans="1:2" x14ac:dyDescent="0.3">
      <c r="A149" s="5" t="s">
        <v>156</v>
      </c>
      <c r="B149" s="3">
        <v>4</v>
      </c>
    </row>
    <row r="150" spans="1:2" x14ac:dyDescent="0.3">
      <c r="A150" s="5" t="s">
        <v>157</v>
      </c>
      <c r="B150" s="3">
        <v>4</v>
      </c>
    </row>
    <row r="151" spans="1:2" x14ac:dyDescent="0.3">
      <c r="A151" s="5" t="s">
        <v>158</v>
      </c>
      <c r="B151" s="3">
        <v>4</v>
      </c>
    </row>
    <row r="152" spans="1:2" x14ac:dyDescent="0.3">
      <c r="A152" s="5" t="s">
        <v>159</v>
      </c>
      <c r="B152" s="3">
        <v>4</v>
      </c>
    </row>
    <row r="153" spans="1:2" x14ac:dyDescent="0.3">
      <c r="A153" s="5" t="s">
        <v>160</v>
      </c>
      <c r="B153" s="3">
        <v>4</v>
      </c>
    </row>
    <row r="154" spans="1:2" x14ac:dyDescent="0.3">
      <c r="A154" s="5" t="s">
        <v>161</v>
      </c>
      <c r="B154" s="3">
        <v>4</v>
      </c>
    </row>
    <row r="155" spans="1:2" x14ac:dyDescent="0.3">
      <c r="A155" s="5" t="s">
        <v>162</v>
      </c>
      <c r="B155" s="3">
        <v>4</v>
      </c>
    </row>
    <row r="156" spans="1:2" x14ac:dyDescent="0.3">
      <c r="A156" s="5" t="s">
        <v>163</v>
      </c>
      <c r="B156" s="3">
        <v>4</v>
      </c>
    </row>
    <row r="157" spans="1:2" x14ac:dyDescent="0.3">
      <c r="A157" s="5" t="s">
        <v>164</v>
      </c>
      <c r="B157" s="3">
        <v>4</v>
      </c>
    </row>
    <row r="158" spans="1:2" x14ac:dyDescent="0.3">
      <c r="A158" s="5" t="s">
        <v>165</v>
      </c>
      <c r="B158" s="3">
        <v>4</v>
      </c>
    </row>
    <row r="159" spans="1:2" x14ac:dyDescent="0.3">
      <c r="A159" s="5" t="s">
        <v>166</v>
      </c>
      <c r="B159" s="3">
        <v>4</v>
      </c>
    </row>
    <row r="160" spans="1:2" x14ac:dyDescent="0.3">
      <c r="A160" s="5" t="s">
        <v>167</v>
      </c>
      <c r="B160" s="3">
        <v>4</v>
      </c>
    </row>
    <row r="161" spans="1:2" x14ac:dyDescent="0.3">
      <c r="A161" s="5" t="s">
        <v>168</v>
      </c>
      <c r="B161" s="3">
        <v>4</v>
      </c>
    </row>
    <row r="162" spans="1:2" x14ac:dyDescent="0.3">
      <c r="A162" s="5" t="s">
        <v>169</v>
      </c>
      <c r="B162" s="3">
        <v>4</v>
      </c>
    </row>
    <row r="163" spans="1:2" x14ac:dyDescent="0.3">
      <c r="A163" s="5" t="s">
        <v>170</v>
      </c>
      <c r="B163" s="3">
        <v>4</v>
      </c>
    </row>
    <row r="164" spans="1:2" x14ac:dyDescent="0.3">
      <c r="A164" s="5" t="s">
        <v>171</v>
      </c>
      <c r="B164" s="3">
        <v>4</v>
      </c>
    </row>
    <row r="165" spans="1:2" x14ac:dyDescent="0.3">
      <c r="A165" s="5" t="s">
        <v>172</v>
      </c>
      <c r="B165" s="3">
        <v>4</v>
      </c>
    </row>
    <row r="166" spans="1:2" x14ac:dyDescent="0.3">
      <c r="A166" s="5" t="s">
        <v>173</v>
      </c>
      <c r="B166" s="3">
        <v>4</v>
      </c>
    </row>
    <row r="167" spans="1:2" x14ac:dyDescent="0.3">
      <c r="A167" s="5" t="s">
        <v>174</v>
      </c>
      <c r="B167" s="3">
        <v>4</v>
      </c>
    </row>
    <row r="168" spans="1:2" x14ac:dyDescent="0.3">
      <c r="A168" s="5" t="s">
        <v>175</v>
      </c>
      <c r="B168" s="3">
        <v>4</v>
      </c>
    </row>
    <row r="169" spans="1:2" x14ac:dyDescent="0.3">
      <c r="A169" s="5" t="s">
        <v>176</v>
      </c>
      <c r="B169" s="3">
        <v>4</v>
      </c>
    </row>
    <row r="170" spans="1:2" x14ac:dyDescent="0.3">
      <c r="A170" s="5" t="s">
        <v>177</v>
      </c>
      <c r="B170" s="3">
        <v>4</v>
      </c>
    </row>
    <row r="171" spans="1:2" x14ac:dyDescent="0.3">
      <c r="A171" s="5" t="s">
        <v>178</v>
      </c>
      <c r="B171" s="3">
        <v>4</v>
      </c>
    </row>
    <row r="172" spans="1:2" x14ac:dyDescent="0.3">
      <c r="A172" s="5" t="s">
        <v>179</v>
      </c>
      <c r="B172" s="3">
        <v>4</v>
      </c>
    </row>
    <row r="173" spans="1:2" x14ac:dyDescent="0.3">
      <c r="A173" s="5" t="s">
        <v>180</v>
      </c>
      <c r="B173" s="3">
        <v>4</v>
      </c>
    </row>
    <row r="174" spans="1:2" x14ac:dyDescent="0.3">
      <c r="A174" s="5" t="s">
        <v>181</v>
      </c>
      <c r="B174" s="3">
        <v>4</v>
      </c>
    </row>
    <row r="175" spans="1:2" x14ac:dyDescent="0.3">
      <c r="A175" s="5" t="s">
        <v>182</v>
      </c>
      <c r="B175" s="3">
        <v>4</v>
      </c>
    </row>
    <row r="176" spans="1:2" x14ac:dyDescent="0.3">
      <c r="A176" s="5" t="s">
        <v>183</v>
      </c>
      <c r="B176" s="3">
        <v>4</v>
      </c>
    </row>
    <row r="177" spans="1:2" x14ac:dyDescent="0.3">
      <c r="A177" s="5" t="s">
        <v>184</v>
      </c>
      <c r="B177" s="3">
        <v>4</v>
      </c>
    </row>
    <row r="178" spans="1:2" x14ac:dyDescent="0.3">
      <c r="A178" s="5" t="s">
        <v>185</v>
      </c>
      <c r="B178" s="3">
        <v>4</v>
      </c>
    </row>
    <row r="179" spans="1:2" x14ac:dyDescent="0.3">
      <c r="A179" s="5" t="s">
        <v>186</v>
      </c>
      <c r="B179" s="3">
        <v>4</v>
      </c>
    </row>
    <row r="180" spans="1:2" x14ac:dyDescent="0.3">
      <c r="A180" s="5" t="s">
        <v>187</v>
      </c>
      <c r="B180" s="3">
        <v>4</v>
      </c>
    </row>
    <row r="181" spans="1:2" x14ac:dyDescent="0.3">
      <c r="A181" s="5" t="s">
        <v>188</v>
      </c>
      <c r="B181" s="3">
        <v>4</v>
      </c>
    </row>
    <row r="182" spans="1:2" x14ac:dyDescent="0.3">
      <c r="A182" s="5" t="s">
        <v>189</v>
      </c>
      <c r="B182" s="3">
        <v>4</v>
      </c>
    </row>
    <row r="183" spans="1:2" x14ac:dyDescent="0.3">
      <c r="A183" s="5" t="s">
        <v>190</v>
      </c>
      <c r="B183" s="3">
        <v>4</v>
      </c>
    </row>
    <row r="184" spans="1:2" x14ac:dyDescent="0.3">
      <c r="A184" s="5" t="s">
        <v>191</v>
      </c>
      <c r="B184" s="3">
        <v>4</v>
      </c>
    </row>
    <row r="185" spans="1:2" x14ac:dyDescent="0.3">
      <c r="A185" s="5" t="s">
        <v>192</v>
      </c>
      <c r="B185" s="3">
        <v>4</v>
      </c>
    </row>
    <row r="186" spans="1:2" x14ac:dyDescent="0.3">
      <c r="A186" s="5" t="s">
        <v>193</v>
      </c>
      <c r="B186" s="3">
        <v>4</v>
      </c>
    </row>
    <row r="187" spans="1:2" x14ac:dyDescent="0.3">
      <c r="A187" s="5" t="s">
        <v>194</v>
      </c>
      <c r="B187" s="3">
        <v>4</v>
      </c>
    </row>
    <row r="188" spans="1:2" x14ac:dyDescent="0.3">
      <c r="A188" s="5" t="s">
        <v>195</v>
      </c>
      <c r="B188" s="3">
        <v>4</v>
      </c>
    </row>
    <row r="189" spans="1:2" x14ac:dyDescent="0.3">
      <c r="A189" s="5" t="s">
        <v>196</v>
      </c>
      <c r="B189" s="3">
        <v>4</v>
      </c>
    </row>
    <row r="190" spans="1:2" x14ac:dyDescent="0.3">
      <c r="A190" s="5" t="s">
        <v>197</v>
      </c>
      <c r="B190" s="3">
        <v>4</v>
      </c>
    </row>
    <row r="191" spans="1:2" x14ac:dyDescent="0.3">
      <c r="A191" s="5" t="s">
        <v>198</v>
      </c>
      <c r="B191" s="3">
        <v>4</v>
      </c>
    </row>
    <row r="192" spans="1:2" x14ac:dyDescent="0.3">
      <c r="A192" s="5" t="s">
        <v>199</v>
      </c>
      <c r="B192" s="3">
        <v>4</v>
      </c>
    </row>
    <row r="193" spans="1:2" x14ac:dyDescent="0.3">
      <c r="A193" s="5" t="s">
        <v>200</v>
      </c>
      <c r="B193" s="3">
        <v>4</v>
      </c>
    </row>
    <row r="194" spans="1:2" x14ac:dyDescent="0.3">
      <c r="A194" s="5" t="s">
        <v>201</v>
      </c>
      <c r="B194" s="3">
        <v>4</v>
      </c>
    </row>
    <row r="195" spans="1:2" x14ac:dyDescent="0.3">
      <c r="A195" s="5" t="s">
        <v>202</v>
      </c>
      <c r="B195" s="3">
        <v>4</v>
      </c>
    </row>
    <row r="196" spans="1:2" x14ac:dyDescent="0.3">
      <c r="A196" s="5" t="s">
        <v>203</v>
      </c>
      <c r="B196" s="3">
        <v>4</v>
      </c>
    </row>
    <row r="197" spans="1:2" x14ac:dyDescent="0.3">
      <c r="A197" s="5" t="s">
        <v>204</v>
      </c>
      <c r="B197" s="3">
        <v>4</v>
      </c>
    </row>
    <row r="198" spans="1:2" x14ac:dyDescent="0.3">
      <c r="A198" s="5" t="s">
        <v>205</v>
      </c>
      <c r="B198" s="3">
        <v>4</v>
      </c>
    </row>
    <row r="199" spans="1:2" x14ac:dyDescent="0.3">
      <c r="A199" s="5" t="s">
        <v>206</v>
      </c>
      <c r="B199" s="3">
        <v>4</v>
      </c>
    </row>
    <row r="200" spans="1:2" x14ac:dyDescent="0.3">
      <c r="A200" s="5" t="s">
        <v>207</v>
      </c>
      <c r="B200" s="3">
        <v>4</v>
      </c>
    </row>
    <row r="201" spans="1:2" x14ac:dyDescent="0.3">
      <c r="A201" s="5" t="s">
        <v>208</v>
      </c>
      <c r="B201" s="3">
        <v>4</v>
      </c>
    </row>
    <row r="202" spans="1:2" x14ac:dyDescent="0.3">
      <c r="A202" s="5" t="s">
        <v>209</v>
      </c>
      <c r="B202" s="3">
        <v>4</v>
      </c>
    </row>
    <row r="203" spans="1:2" x14ac:dyDescent="0.3">
      <c r="A203" s="5" t="s">
        <v>210</v>
      </c>
      <c r="B203" s="3">
        <v>4</v>
      </c>
    </row>
    <row r="204" spans="1:2" x14ac:dyDescent="0.3">
      <c r="A204" s="5" t="s">
        <v>211</v>
      </c>
      <c r="B204" s="3">
        <v>4</v>
      </c>
    </row>
    <row r="205" spans="1:2" x14ac:dyDescent="0.3">
      <c r="A205" s="5" t="s">
        <v>212</v>
      </c>
      <c r="B205" s="3">
        <v>4</v>
      </c>
    </row>
    <row r="206" spans="1:2" x14ac:dyDescent="0.3">
      <c r="A206" s="5" t="s">
        <v>213</v>
      </c>
      <c r="B206" s="3">
        <v>4</v>
      </c>
    </row>
    <row r="207" spans="1:2" x14ac:dyDescent="0.3">
      <c r="A207" s="5" t="s">
        <v>214</v>
      </c>
      <c r="B207" s="3">
        <v>4</v>
      </c>
    </row>
    <row r="208" spans="1:2" x14ac:dyDescent="0.3">
      <c r="A208" s="5" t="s">
        <v>215</v>
      </c>
      <c r="B208" s="3">
        <v>4</v>
      </c>
    </row>
    <row r="209" spans="1:2" x14ac:dyDescent="0.3">
      <c r="A209" s="5" t="s">
        <v>216</v>
      </c>
      <c r="B209" s="3">
        <v>4</v>
      </c>
    </row>
    <row r="210" spans="1:2" x14ac:dyDescent="0.3">
      <c r="A210" s="5" t="s">
        <v>217</v>
      </c>
      <c r="B210" s="3">
        <v>4</v>
      </c>
    </row>
    <row r="211" spans="1:2" x14ac:dyDescent="0.3">
      <c r="A211" s="5" t="s">
        <v>218</v>
      </c>
      <c r="B211" s="3">
        <v>4</v>
      </c>
    </row>
    <row r="212" spans="1:2" x14ac:dyDescent="0.3">
      <c r="A212" s="5" t="s">
        <v>219</v>
      </c>
      <c r="B212" s="3">
        <v>4</v>
      </c>
    </row>
    <row r="213" spans="1:2" x14ac:dyDescent="0.3">
      <c r="A213" s="5" t="s">
        <v>220</v>
      </c>
      <c r="B213" s="3">
        <v>4</v>
      </c>
    </row>
    <row r="214" spans="1:2" x14ac:dyDescent="0.3">
      <c r="A214" s="5" t="s">
        <v>221</v>
      </c>
      <c r="B214" s="3">
        <v>4</v>
      </c>
    </row>
    <row r="215" spans="1:2" x14ac:dyDescent="0.3">
      <c r="A215" s="5" t="s">
        <v>222</v>
      </c>
      <c r="B215" s="3">
        <v>4</v>
      </c>
    </row>
    <row r="216" spans="1:2" x14ac:dyDescent="0.3">
      <c r="A216" s="5" t="s">
        <v>223</v>
      </c>
      <c r="B216" s="3">
        <v>4</v>
      </c>
    </row>
    <row r="217" spans="1:2" x14ac:dyDescent="0.3">
      <c r="A217" s="5" t="s">
        <v>224</v>
      </c>
      <c r="B217" s="3">
        <v>4</v>
      </c>
    </row>
    <row r="218" spans="1:2" x14ac:dyDescent="0.3">
      <c r="A218" s="5" t="s">
        <v>225</v>
      </c>
      <c r="B218" s="3">
        <v>4</v>
      </c>
    </row>
    <row r="219" spans="1:2" x14ac:dyDescent="0.3">
      <c r="A219" s="5" t="s">
        <v>226</v>
      </c>
      <c r="B219" s="3">
        <v>4</v>
      </c>
    </row>
    <row r="220" spans="1:2" x14ac:dyDescent="0.3">
      <c r="A220" s="5" t="s">
        <v>227</v>
      </c>
      <c r="B220" s="3">
        <v>4</v>
      </c>
    </row>
    <row r="221" spans="1:2" x14ac:dyDescent="0.3">
      <c r="A221" s="5" t="s">
        <v>228</v>
      </c>
      <c r="B221" s="3">
        <v>4</v>
      </c>
    </row>
    <row r="222" spans="1:2" x14ac:dyDescent="0.3">
      <c r="A222" s="5" t="s">
        <v>229</v>
      </c>
      <c r="B222" s="3">
        <v>4</v>
      </c>
    </row>
    <row r="223" spans="1:2" x14ac:dyDescent="0.3">
      <c r="A223" s="5" t="s">
        <v>230</v>
      </c>
      <c r="B223" s="3">
        <v>4</v>
      </c>
    </row>
    <row r="224" spans="1:2" x14ac:dyDescent="0.3">
      <c r="A224" s="5" t="s">
        <v>231</v>
      </c>
      <c r="B224" s="3">
        <v>4</v>
      </c>
    </row>
    <row r="225" spans="1:2" x14ac:dyDescent="0.3">
      <c r="A225" s="5" t="s">
        <v>232</v>
      </c>
      <c r="B225" s="3">
        <v>4</v>
      </c>
    </row>
    <row r="226" spans="1:2" x14ac:dyDescent="0.3">
      <c r="A226" s="5" t="s">
        <v>233</v>
      </c>
      <c r="B226" s="3">
        <v>4</v>
      </c>
    </row>
    <row r="227" spans="1:2" x14ac:dyDescent="0.3">
      <c r="A227" s="5" t="s">
        <v>234</v>
      </c>
      <c r="B227" s="3">
        <v>4</v>
      </c>
    </row>
    <row r="228" spans="1:2" x14ac:dyDescent="0.3">
      <c r="A228" s="5" t="s">
        <v>235</v>
      </c>
      <c r="B228" s="3">
        <v>4</v>
      </c>
    </row>
    <row r="229" spans="1:2" x14ac:dyDescent="0.3">
      <c r="A229" s="5" t="s">
        <v>236</v>
      </c>
      <c r="B229" s="3">
        <v>4</v>
      </c>
    </row>
    <row r="230" spans="1:2" x14ac:dyDescent="0.3">
      <c r="A230" s="5" t="s">
        <v>237</v>
      </c>
      <c r="B230" s="3">
        <v>4</v>
      </c>
    </row>
    <row r="231" spans="1:2" x14ac:dyDescent="0.3">
      <c r="A231" s="5" t="s">
        <v>238</v>
      </c>
      <c r="B231" s="3">
        <v>4</v>
      </c>
    </row>
    <row r="232" spans="1:2" x14ac:dyDescent="0.3">
      <c r="A232" s="5" t="s">
        <v>239</v>
      </c>
      <c r="B232" s="3">
        <v>4</v>
      </c>
    </row>
    <row r="233" spans="1:2" x14ac:dyDescent="0.3">
      <c r="A233" s="5" t="s">
        <v>240</v>
      </c>
      <c r="B233" s="3">
        <v>4</v>
      </c>
    </row>
    <row r="234" spans="1:2" x14ac:dyDescent="0.3">
      <c r="A234" s="5" t="s">
        <v>241</v>
      </c>
      <c r="B234" s="3">
        <v>4</v>
      </c>
    </row>
    <row r="235" spans="1:2" x14ac:dyDescent="0.3">
      <c r="A235" s="5" t="s">
        <v>242</v>
      </c>
      <c r="B235" s="3">
        <v>4</v>
      </c>
    </row>
    <row r="236" spans="1:2" x14ac:dyDescent="0.3">
      <c r="A236" s="5" t="s">
        <v>243</v>
      </c>
      <c r="B236" s="3">
        <v>4</v>
      </c>
    </row>
    <row r="237" spans="1:2" x14ac:dyDescent="0.3">
      <c r="A237" s="5" t="s">
        <v>244</v>
      </c>
      <c r="B237" s="3">
        <v>4</v>
      </c>
    </row>
    <row r="238" spans="1:2" x14ac:dyDescent="0.3">
      <c r="A238" s="5" t="s">
        <v>245</v>
      </c>
      <c r="B238" s="3">
        <v>4</v>
      </c>
    </row>
    <row r="239" spans="1:2" x14ac:dyDescent="0.3">
      <c r="A239" s="5" t="s">
        <v>246</v>
      </c>
      <c r="B239" s="3">
        <v>4</v>
      </c>
    </row>
    <row r="240" spans="1:2" x14ac:dyDescent="0.3">
      <c r="A240" s="5" t="s">
        <v>247</v>
      </c>
      <c r="B240" s="3">
        <v>4</v>
      </c>
    </row>
    <row r="241" spans="1:2" x14ac:dyDescent="0.3">
      <c r="A241" s="5" t="s">
        <v>248</v>
      </c>
      <c r="B241" s="3">
        <v>4</v>
      </c>
    </row>
    <row r="242" spans="1:2" x14ac:dyDescent="0.3">
      <c r="A242" s="5" t="s">
        <v>249</v>
      </c>
      <c r="B242" s="3">
        <v>4</v>
      </c>
    </row>
    <row r="243" spans="1:2" x14ac:dyDescent="0.3">
      <c r="A243" s="5" t="s">
        <v>250</v>
      </c>
      <c r="B243" s="3">
        <v>4</v>
      </c>
    </row>
    <row r="244" spans="1:2" x14ac:dyDescent="0.3">
      <c r="A244" s="5" t="s">
        <v>251</v>
      </c>
      <c r="B244" s="3">
        <v>4</v>
      </c>
    </row>
    <row r="245" spans="1:2" x14ac:dyDescent="0.3">
      <c r="A245" s="5" t="s">
        <v>252</v>
      </c>
      <c r="B245" s="3">
        <v>4</v>
      </c>
    </row>
    <row r="246" spans="1:2" x14ac:dyDescent="0.3">
      <c r="A246" s="5" t="s">
        <v>253</v>
      </c>
      <c r="B246" s="3">
        <v>4</v>
      </c>
    </row>
    <row r="247" spans="1:2" x14ac:dyDescent="0.3">
      <c r="A247" s="5" t="s">
        <v>254</v>
      </c>
      <c r="B247" s="3">
        <v>4</v>
      </c>
    </row>
    <row r="248" spans="1:2" x14ac:dyDescent="0.3">
      <c r="A248" s="5" t="s">
        <v>255</v>
      </c>
      <c r="B248" s="3">
        <v>4</v>
      </c>
    </row>
    <row r="249" spans="1:2" x14ac:dyDescent="0.3">
      <c r="A249" s="5" t="s">
        <v>256</v>
      </c>
      <c r="B249" s="3">
        <v>4</v>
      </c>
    </row>
    <row r="250" spans="1:2" x14ac:dyDescent="0.3">
      <c r="A250" s="5" t="s">
        <v>257</v>
      </c>
      <c r="B250" s="3">
        <v>4</v>
      </c>
    </row>
    <row r="251" spans="1:2" x14ac:dyDescent="0.3">
      <c r="A251" s="5" t="s">
        <v>258</v>
      </c>
      <c r="B251" s="3">
        <v>4</v>
      </c>
    </row>
    <row r="252" spans="1:2" x14ac:dyDescent="0.3">
      <c r="A252" s="5" t="s">
        <v>259</v>
      </c>
      <c r="B252" s="3">
        <v>4</v>
      </c>
    </row>
    <row r="253" spans="1:2" x14ac:dyDescent="0.3">
      <c r="A253" s="5" t="s">
        <v>260</v>
      </c>
      <c r="B253" s="3">
        <v>4</v>
      </c>
    </row>
    <row r="254" spans="1:2" x14ac:dyDescent="0.3">
      <c r="A254" s="5" t="s">
        <v>261</v>
      </c>
      <c r="B254" s="3">
        <v>4</v>
      </c>
    </row>
    <row r="255" spans="1:2" x14ac:dyDescent="0.3">
      <c r="A255" s="5" t="s">
        <v>262</v>
      </c>
      <c r="B255" s="3">
        <v>4</v>
      </c>
    </row>
    <row r="256" spans="1:2" x14ac:dyDescent="0.3">
      <c r="A256" s="5" t="s">
        <v>263</v>
      </c>
      <c r="B256" s="3">
        <v>4</v>
      </c>
    </row>
    <row r="257" spans="1:2" x14ac:dyDescent="0.3">
      <c r="A257" s="5" t="s">
        <v>264</v>
      </c>
      <c r="B257" s="3">
        <v>4</v>
      </c>
    </row>
    <row r="258" spans="1:2" x14ac:dyDescent="0.3">
      <c r="A258" s="5" t="s">
        <v>265</v>
      </c>
      <c r="B258" s="3">
        <v>4</v>
      </c>
    </row>
    <row r="259" spans="1:2" x14ac:dyDescent="0.3">
      <c r="A259" s="5" t="s">
        <v>266</v>
      </c>
      <c r="B259" s="3">
        <v>4</v>
      </c>
    </row>
    <row r="260" spans="1:2" x14ac:dyDescent="0.3">
      <c r="A260" s="5" t="s">
        <v>267</v>
      </c>
      <c r="B260" s="3">
        <v>4</v>
      </c>
    </row>
    <row r="261" spans="1:2" x14ac:dyDescent="0.3">
      <c r="A261" s="5" t="s">
        <v>268</v>
      </c>
      <c r="B261" s="3">
        <v>4</v>
      </c>
    </row>
    <row r="262" spans="1:2" x14ac:dyDescent="0.3">
      <c r="A262" s="5" t="s">
        <v>269</v>
      </c>
      <c r="B262" s="3">
        <v>4</v>
      </c>
    </row>
    <row r="263" spans="1:2" x14ac:dyDescent="0.3">
      <c r="A263" s="5" t="s">
        <v>270</v>
      </c>
      <c r="B263" s="3">
        <v>4</v>
      </c>
    </row>
    <row r="264" spans="1:2" x14ac:dyDescent="0.3">
      <c r="A264" s="5" t="s">
        <v>271</v>
      </c>
      <c r="B264" s="3">
        <v>4</v>
      </c>
    </row>
    <row r="265" spans="1:2" x14ac:dyDescent="0.3">
      <c r="A265" s="5" t="s">
        <v>272</v>
      </c>
      <c r="B265" s="3">
        <v>4</v>
      </c>
    </row>
    <row r="266" spans="1:2" x14ac:dyDescent="0.3">
      <c r="A266" s="5" t="s">
        <v>273</v>
      </c>
      <c r="B266" s="3">
        <v>4</v>
      </c>
    </row>
    <row r="267" spans="1:2" x14ac:dyDescent="0.3">
      <c r="A267" s="5" t="s">
        <v>274</v>
      </c>
      <c r="B267" s="3">
        <v>4</v>
      </c>
    </row>
    <row r="268" spans="1:2" x14ac:dyDescent="0.3">
      <c r="A268" s="5" t="s">
        <v>275</v>
      </c>
      <c r="B268" s="3">
        <v>4</v>
      </c>
    </row>
    <row r="269" spans="1:2" x14ac:dyDescent="0.3">
      <c r="A269" s="5" t="s">
        <v>276</v>
      </c>
      <c r="B269" s="3">
        <v>4</v>
      </c>
    </row>
    <row r="270" spans="1:2" x14ac:dyDescent="0.3">
      <c r="A270" s="5" t="s">
        <v>277</v>
      </c>
      <c r="B270" s="3">
        <v>4</v>
      </c>
    </row>
    <row r="271" spans="1:2" x14ac:dyDescent="0.3">
      <c r="A271" s="5" t="s">
        <v>278</v>
      </c>
      <c r="B271" s="3">
        <v>4</v>
      </c>
    </row>
    <row r="272" spans="1:2" x14ac:dyDescent="0.3">
      <c r="A272" s="5" t="s">
        <v>279</v>
      </c>
      <c r="B272" s="3">
        <v>4</v>
      </c>
    </row>
    <row r="273" spans="1:2" x14ac:dyDescent="0.3">
      <c r="A273" s="5" t="s">
        <v>280</v>
      </c>
      <c r="B273" s="3">
        <v>4</v>
      </c>
    </row>
    <row r="274" spans="1:2" x14ac:dyDescent="0.3">
      <c r="A274" s="5" t="s">
        <v>281</v>
      </c>
      <c r="B274" s="3">
        <v>4</v>
      </c>
    </row>
    <row r="275" spans="1:2" x14ac:dyDescent="0.3">
      <c r="A275" s="5" t="s">
        <v>282</v>
      </c>
      <c r="B275" s="3">
        <v>4</v>
      </c>
    </row>
    <row r="276" spans="1:2" x14ac:dyDescent="0.3">
      <c r="A276" s="5" t="s">
        <v>283</v>
      </c>
      <c r="B276" s="3">
        <v>4</v>
      </c>
    </row>
    <row r="277" spans="1:2" x14ac:dyDescent="0.3">
      <c r="A277" s="5" t="s">
        <v>284</v>
      </c>
      <c r="B277" s="3">
        <v>4</v>
      </c>
    </row>
    <row r="278" spans="1:2" x14ac:dyDescent="0.3">
      <c r="A278" s="5" t="s">
        <v>285</v>
      </c>
      <c r="B278" s="3">
        <v>3</v>
      </c>
    </row>
    <row r="279" spans="1:2" x14ac:dyDescent="0.3">
      <c r="A279" s="5" t="s">
        <v>286</v>
      </c>
      <c r="B279" s="3">
        <v>3</v>
      </c>
    </row>
    <row r="280" spans="1:2" x14ac:dyDescent="0.3">
      <c r="A280" s="5" t="s">
        <v>287</v>
      </c>
      <c r="B280" s="3">
        <v>3</v>
      </c>
    </row>
    <row r="281" spans="1:2" x14ac:dyDescent="0.3">
      <c r="A281" s="5" t="s">
        <v>288</v>
      </c>
      <c r="B281" s="3">
        <v>3</v>
      </c>
    </row>
    <row r="282" spans="1:2" x14ac:dyDescent="0.3">
      <c r="A282" s="5" t="s">
        <v>289</v>
      </c>
      <c r="B282" s="3">
        <v>3</v>
      </c>
    </row>
    <row r="283" spans="1:2" x14ac:dyDescent="0.3">
      <c r="A283" s="5" t="s">
        <v>290</v>
      </c>
      <c r="B283" s="3">
        <v>3</v>
      </c>
    </row>
    <row r="284" spans="1:2" x14ac:dyDescent="0.3">
      <c r="A284" s="5" t="s">
        <v>291</v>
      </c>
      <c r="B284" s="3">
        <v>3</v>
      </c>
    </row>
    <row r="285" spans="1:2" x14ac:dyDescent="0.3">
      <c r="A285" s="5" t="s">
        <v>292</v>
      </c>
      <c r="B285" s="3">
        <v>3</v>
      </c>
    </row>
    <row r="286" spans="1:2" x14ac:dyDescent="0.3">
      <c r="A286" s="5" t="s">
        <v>293</v>
      </c>
      <c r="B286" s="3">
        <v>3</v>
      </c>
    </row>
    <row r="287" spans="1:2" x14ac:dyDescent="0.3">
      <c r="A287" s="5" t="s">
        <v>294</v>
      </c>
      <c r="B287" s="3">
        <v>3</v>
      </c>
    </row>
    <row r="288" spans="1:2" x14ac:dyDescent="0.3">
      <c r="A288" s="5" t="s">
        <v>295</v>
      </c>
      <c r="B288" s="3">
        <v>3</v>
      </c>
    </row>
    <row r="289" spans="1:2" x14ac:dyDescent="0.3">
      <c r="A289" s="5" t="s">
        <v>296</v>
      </c>
      <c r="B289" s="3">
        <v>3</v>
      </c>
    </row>
    <row r="290" spans="1:2" x14ac:dyDescent="0.3">
      <c r="A290" s="5" t="s">
        <v>297</v>
      </c>
      <c r="B290" s="3">
        <v>3</v>
      </c>
    </row>
    <row r="291" spans="1:2" x14ac:dyDescent="0.3">
      <c r="A291" s="5" t="s">
        <v>298</v>
      </c>
      <c r="B291" s="3">
        <v>3</v>
      </c>
    </row>
    <row r="292" spans="1:2" x14ac:dyDescent="0.3">
      <c r="A292" s="5" t="s">
        <v>299</v>
      </c>
      <c r="B292" s="3">
        <v>3</v>
      </c>
    </row>
    <row r="293" spans="1:2" x14ac:dyDescent="0.3">
      <c r="A293" s="5" t="s">
        <v>300</v>
      </c>
      <c r="B293" s="3">
        <v>3</v>
      </c>
    </row>
    <row r="294" spans="1:2" x14ac:dyDescent="0.3">
      <c r="A294" s="5" t="s">
        <v>301</v>
      </c>
      <c r="B294" s="3">
        <v>3</v>
      </c>
    </row>
    <row r="295" spans="1:2" x14ac:dyDescent="0.3">
      <c r="A295" s="5" t="s">
        <v>302</v>
      </c>
      <c r="B295" s="3">
        <v>3</v>
      </c>
    </row>
    <row r="296" spans="1:2" x14ac:dyDescent="0.3">
      <c r="A296" s="5" t="s">
        <v>303</v>
      </c>
      <c r="B296" s="3">
        <v>3</v>
      </c>
    </row>
    <row r="297" spans="1:2" x14ac:dyDescent="0.3">
      <c r="A297" s="5" t="s">
        <v>304</v>
      </c>
      <c r="B297" s="3">
        <v>3</v>
      </c>
    </row>
    <row r="298" spans="1:2" x14ac:dyDescent="0.3">
      <c r="A298" s="5" t="s">
        <v>305</v>
      </c>
      <c r="B298" s="3">
        <v>3</v>
      </c>
    </row>
    <row r="299" spans="1:2" x14ac:dyDescent="0.3">
      <c r="A299" s="5" t="s">
        <v>306</v>
      </c>
      <c r="B299" s="3">
        <v>3</v>
      </c>
    </row>
    <row r="300" spans="1:2" x14ac:dyDescent="0.3">
      <c r="A300" s="5" t="s">
        <v>307</v>
      </c>
      <c r="B300" s="3">
        <v>3</v>
      </c>
    </row>
    <row r="301" spans="1:2" x14ac:dyDescent="0.3">
      <c r="A301" s="5" t="s">
        <v>308</v>
      </c>
      <c r="B301" s="3">
        <v>3</v>
      </c>
    </row>
    <row r="302" spans="1:2" x14ac:dyDescent="0.3">
      <c r="A302" s="5" t="s">
        <v>309</v>
      </c>
      <c r="B302" s="3">
        <v>3</v>
      </c>
    </row>
    <row r="303" spans="1:2" x14ac:dyDescent="0.3">
      <c r="A303" s="5" t="s">
        <v>310</v>
      </c>
      <c r="B303" s="3">
        <v>3</v>
      </c>
    </row>
    <row r="304" spans="1:2" x14ac:dyDescent="0.3">
      <c r="A304" s="5" t="s">
        <v>311</v>
      </c>
      <c r="B304" s="3">
        <v>3</v>
      </c>
    </row>
    <row r="305" spans="1:2" x14ac:dyDescent="0.3">
      <c r="A305" s="5" t="s">
        <v>312</v>
      </c>
      <c r="B305" s="3">
        <v>3</v>
      </c>
    </row>
    <row r="306" spans="1:2" x14ac:dyDescent="0.3">
      <c r="A306" s="5" t="s">
        <v>313</v>
      </c>
      <c r="B306" s="3">
        <v>3</v>
      </c>
    </row>
    <row r="307" spans="1:2" x14ac:dyDescent="0.3">
      <c r="A307" s="5" t="s">
        <v>314</v>
      </c>
      <c r="B307" s="3">
        <v>3</v>
      </c>
    </row>
    <row r="308" spans="1:2" x14ac:dyDescent="0.3">
      <c r="A308" s="5" t="s">
        <v>315</v>
      </c>
      <c r="B308" s="3">
        <v>3</v>
      </c>
    </row>
    <row r="309" spans="1:2" x14ac:dyDescent="0.3">
      <c r="A309" s="5" t="s">
        <v>316</v>
      </c>
      <c r="B309" s="3">
        <v>3</v>
      </c>
    </row>
    <row r="310" spans="1:2" x14ac:dyDescent="0.3">
      <c r="A310" s="5" t="s">
        <v>317</v>
      </c>
      <c r="B310" s="3">
        <v>3</v>
      </c>
    </row>
    <row r="311" spans="1:2" x14ac:dyDescent="0.3">
      <c r="A311" s="5" t="s">
        <v>318</v>
      </c>
      <c r="B311" s="3">
        <v>3</v>
      </c>
    </row>
    <row r="312" spans="1:2" x14ac:dyDescent="0.3">
      <c r="A312" s="5" t="s">
        <v>319</v>
      </c>
      <c r="B312" s="3">
        <v>3</v>
      </c>
    </row>
    <row r="313" spans="1:2" x14ac:dyDescent="0.3">
      <c r="A313" s="5" t="s">
        <v>320</v>
      </c>
      <c r="B313" s="3">
        <v>3</v>
      </c>
    </row>
    <row r="314" spans="1:2" x14ac:dyDescent="0.3">
      <c r="A314" s="5" t="s">
        <v>321</v>
      </c>
      <c r="B314" s="3">
        <v>3</v>
      </c>
    </row>
    <row r="315" spans="1:2" x14ac:dyDescent="0.3">
      <c r="A315" s="5" t="s">
        <v>322</v>
      </c>
      <c r="B315" s="3">
        <v>3</v>
      </c>
    </row>
    <row r="316" spans="1:2" x14ac:dyDescent="0.3">
      <c r="A316" s="5" t="s">
        <v>323</v>
      </c>
      <c r="B316" s="3">
        <v>3</v>
      </c>
    </row>
    <row r="317" spans="1:2" x14ac:dyDescent="0.3">
      <c r="A317" s="5" t="s">
        <v>324</v>
      </c>
      <c r="B317" s="3">
        <v>3</v>
      </c>
    </row>
    <row r="318" spans="1:2" x14ac:dyDescent="0.3">
      <c r="A318" s="5" t="s">
        <v>325</v>
      </c>
      <c r="B318" s="3">
        <v>3</v>
      </c>
    </row>
    <row r="319" spans="1:2" x14ac:dyDescent="0.3">
      <c r="A319" s="5" t="s">
        <v>326</v>
      </c>
      <c r="B319" s="3">
        <v>3</v>
      </c>
    </row>
    <row r="320" spans="1:2" x14ac:dyDescent="0.3">
      <c r="A320" s="5" t="s">
        <v>327</v>
      </c>
      <c r="B320" s="3">
        <v>3</v>
      </c>
    </row>
    <row r="321" spans="1:2" x14ac:dyDescent="0.3">
      <c r="A321" s="5" t="s">
        <v>328</v>
      </c>
      <c r="B321" s="3">
        <v>3</v>
      </c>
    </row>
    <row r="322" spans="1:2" x14ac:dyDescent="0.3">
      <c r="A322" s="5" t="s">
        <v>329</v>
      </c>
      <c r="B322" s="3">
        <v>3</v>
      </c>
    </row>
    <row r="323" spans="1:2" x14ac:dyDescent="0.3">
      <c r="A323" s="5" t="s">
        <v>330</v>
      </c>
      <c r="B323" s="3">
        <v>3</v>
      </c>
    </row>
    <row r="324" spans="1:2" x14ac:dyDescent="0.3">
      <c r="A324" s="5" t="s">
        <v>331</v>
      </c>
      <c r="B324" s="3">
        <v>3</v>
      </c>
    </row>
    <row r="325" spans="1:2" x14ac:dyDescent="0.3">
      <c r="A325" s="5" t="s">
        <v>332</v>
      </c>
      <c r="B325" s="3">
        <v>3</v>
      </c>
    </row>
    <row r="326" spans="1:2" x14ac:dyDescent="0.3">
      <c r="A326" s="5" t="s">
        <v>333</v>
      </c>
      <c r="B326" s="3">
        <v>3</v>
      </c>
    </row>
    <row r="327" spans="1:2" x14ac:dyDescent="0.3">
      <c r="A327" s="5" t="s">
        <v>334</v>
      </c>
      <c r="B327" s="3">
        <v>3</v>
      </c>
    </row>
    <row r="328" spans="1:2" x14ac:dyDescent="0.3">
      <c r="A328" s="5" t="s">
        <v>335</v>
      </c>
      <c r="B328" s="3">
        <v>3</v>
      </c>
    </row>
    <row r="329" spans="1:2" x14ac:dyDescent="0.3">
      <c r="A329" s="5" t="s">
        <v>336</v>
      </c>
      <c r="B329" s="3">
        <v>3</v>
      </c>
    </row>
    <row r="330" spans="1:2" x14ac:dyDescent="0.3">
      <c r="A330" s="5" t="s">
        <v>337</v>
      </c>
      <c r="B330" s="3">
        <v>3</v>
      </c>
    </row>
    <row r="331" spans="1:2" x14ac:dyDescent="0.3">
      <c r="A331" s="5" t="s">
        <v>338</v>
      </c>
      <c r="B331" s="3">
        <v>3</v>
      </c>
    </row>
    <row r="332" spans="1:2" x14ac:dyDescent="0.3">
      <c r="A332" s="5" t="s">
        <v>339</v>
      </c>
      <c r="B332" s="3">
        <v>3</v>
      </c>
    </row>
    <row r="333" spans="1:2" x14ac:dyDescent="0.3">
      <c r="A333" s="5" t="s">
        <v>340</v>
      </c>
      <c r="B333" s="3">
        <v>3</v>
      </c>
    </row>
    <row r="334" spans="1:2" x14ac:dyDescent="0.3">
      <c r="A334" s="5" t="s">
        <v>341</v>
      </c>
      <c r="B334" s="3">
        <v>3</v>
      </c>
    </row>
    <row r="335" spans="1:2" x14ac:dyDescent="0.3">
      <c r="A335" s="5" t="s">
        <v>342</v>
      </c>
      <c r="B335" s="3">
        <v>3</v>
      </c>
    </row>
    <row r="336" spans="1:2" x14ac:dyDescent="0.3">
      <c r="A336" s="5" t="s">
        <v>343</v>
      </c>
      <c r="B336" s="3">
        <v>3</v>
      </c>
    </row>
    <row r="337" spans="1:2" x14ac:dyDescent="0.3">
      <c r="A337" s="5" t="s">
        <v>344</v>
      </c>
      <c r="B337" s="3">
        <v>3</v>
      </c>
    </row>
    <row r="338" spans="1:2" x14ac:dyDescent="0.3">
      <c r="A338" s="5" t="s">
        <v>345</v>
      </c>
      <c r="B338" s="3">
        <v>3</v>
      </c>
    </row>
    <row r="339" spans="1:2" x14ac:dyDescent="0.3">
      <c r="A339" s="5" t="s">
        <v>346</v>
      </c>
      <c r="B339" s="3">
        <v>3</v>
      </c>
    </row>
    <row r="340" spans="1:2" x14ac:dyDescent="0.3">
      <c r="A340" s="5" t="s">
        <v>347</v>
      </c>
      <c r="B340" s="3">
        <v>3</v>
      </c>
    </row>
    <row r="341" spans="1:2" x14ac:dyDescent="0.3">
      <c r="A341" s="5" t="s">
        <v>348</v>
      </c>
      <c r="B341" s="3">
        <v>3</v>
      </c>
    </row>
    <row r="342" spans="1:2" x14ac:dyDescent="0.3">
      <c r="A342" s="5" t="s">
        <v>349</v>
      </c>
      <c r="B342" s="3">
        <v>3</v>
      </c>
    </row>
    <row r="343" spans="1:2" x14ac:dyDescent="0.3">
      <c r="A343" s="5" t="s">
        <v>350</v>
      </c>
      <c r="B343" s="3">
        <v>3</v>
      </c>
    </row>
    <row r="344" spans="1:2" x14ac:dyDescent="0.3">
      <c r="A344" s="5" t="s">
        <v>351</v>
      </c>
      <c r="B344" s="3">
        <v>3</v>
      </c>
    </row>
    <row r="345" spans="1:2" x14ac:dyDescent="0.3">
      <c r="A345" s="5" t="s">
        <v>352</v>
      </c>
      <c r="B345" s="3">
        <v>3</v>
      </c>
    </row>
    <row r="346" spans="1:2" x14ac:dyDescent="0.3">
      <c r="A346" s="5" t="s">
        <v>353</v>
      </c>
      <c r="B346" s="3">
        <v>3</v>
      </c>
    </row>
    <row r="347" spans="1:2" x14ac:dyDescent="0.3">
      <c r="A347" s="5" t="s">
        <v>354</v>
      </c>
      <c r="B347" s="3">
        <v>3</v>
      </c>
    </row>
    <row r="348" spans="1:2" x14ac:dyDescent="0.3">
      <c r="A348" s="5" t="s">
        <v>355</v>
      </c>
      <c r="B348" s="3">
        <v>3</v>
      </c>
    </row>
    <row r="349" spans="1:2" x14ac:dyDescent="0.3">
      <c r="A349" s="5" t="s">
        <v>356</v>
      </c>
      <c r="B349" s="3">
        <v>3</v>
      </c>
    </row>
    <row r="350" spans="1:2" x14ac:dyDescent="0.3">
      <c r="A350" s="5" t="s">
        <v>357</v>
      </c>
      <c r="B350" s="3">
        <v>3</v>
      </c>
    </row>
    <row r="351" spans="1:2" x14ac:dyDescent="0.3">
      <c r="A351" s="5" t="s">
        <v>358</v>
      </c>
      <c r="B351" s="3">
        <v>3</v>
      </c>
    </row>
    <row r="352" spans="1:2" x14ac:dyDescent="0.3">
      <c r="A352" s="5" t="s">
        <v>359</v>
      </c>
      <c r="B352" s="3">
        <v>3</v>
      </c>
    </row>
    <row r="353" spans="1:2" x14ac:dyDescent="0.3">
      <c r="A353" s="5" t="s">
        <v>360</v>
      </c>
      <c r="B353" s="3">
        <v>3</v>
      </c>
    </row>
    <row r="354" spans="1:2" x14ac:dyDescent="0.3">
      <c r="A354" s="5" t="s">
        <v>361</v>
      </c>
      <c r="B354" s="3">
        <v>3</v>
      </c>
    </row>
    <row r="355" spans="1:2" x14ac:dyDescent="0.3">
      <c r="A355" s="5" t="s">
        <v>362</v>
      </c>
      <c r="B355" s="3">
        <v>3</v>
      </c>
    </row>
    <row r="356" spans="1:2" x14ac:dyDescent="0.3">
      <c r="A356" s="5" t="s">
        <v>363</v>
      </c>
      <c r="B356" s="3">
        <v>3</v>
      </c>
    </row>
    <row r="357" spans="1:2" x14ac:dyDescent="0.3">
      <c r="A357" s="5" t="s">
        <v>364</v>
      </c>
      <c r="B357" s="3">
        <v>3</v>
      </c>
    </row>
    <row r="358" spans="1:2" x14ac:dyDescent="0.3">
      <c r="A358" s="5" t="s">
        <v>365</v>
      </c>
      <c r="B358" s="3">
        <v>3</v>
      </c>
    </row>
    <row r="359" spans="1:2" x14ac:dyDescent="0.3">
      <c r="A359" s="5" t="s">
        <v>366</v>
      </c>
      <c r="B359" s="3">
        <v>3</v>
      </c>
    </row>
    <row r="360" spans="1:2" x14ac:dyDescent="0.3">
      <c r="A360" s="5" t="s">
        <v>367</v>
      </c>
      <c r="B360" s="3">
        <v>3</v>
      </c>
    </row>
    <row r="361" spans="1:2" x14ac:dyDescent="0.3">
      <c r="A361" s="5" t="s">
        <v>368</v>
      </c>
      <c r="B361" s="3">
        <v>3</v>
      </c>
    </row>
    <row r="362" spans="1:2" x14ac:dyDescent="0.3">
      <c r="A362" s="5" t="s">
        <v>369</v>
      </c>
      <c r="B362" s="3">
        <v>3</v>
      </c>
    </row>
    <row r="363" spans="1:2" x14ac:dyDescent="0.3">
      <c r="A363" s="5" t="s">
        <v>370</v>
      </c>
      <c r="B363" s="3">
        <v>3</v>
      </c>
    </row>
    <row r="364" spans="1:2" x14ac:dyDescent="0.3">
      <c r="A364" s="5" t="s">
        <v>371</v>
      </c>
      <c r="B364" s="3">
        <v>3</v>
      </c>
    </row>
    <row r="365" spans="1:2" x14ac:dyDescent="0.3">
      <c r="A365" s="5" t="s">
        <v>372</v>
      </c>
      <c r="B365" s="3">
        <v>3</v>
      </c>
    </row>
    <row r="366" spans="1:2" x14ac:dyDescent="0.3">
      <c r="A366" s="5" t="s">
        <v>373</v>
      </c>
      <c r="B366" s="3">
        <v>3</v>
      </c>
    </row>
    <row r="367" spans="1:2" x14ac:dyDescent="0.3">
      <c r="A367" s="5" t="s">
        <v>374</v>
      </c>
      <c r="B367" s="3">
        <v>3</v>
      </c>
    </row>
    <row r="368" spans="1:2" x14ac:dyDescent="0.3">
      <c r="A368" s="5" t="s">
        <v>375</v>
      </c>
      <c r="B368" s="3">
        <v>3</v>
      </c>
    </row>
    <row r="369" spans="1:2" x14ac:dyDescent="0.3">
      <c r="A369" s="5" t="s">
        <v>376</v>
      </c>
      <c r="B369" s="3">
        <v>3</v>
      </c>
    </row>
    <row r="370" spans="1:2" x14ac:dyDescent="0.3">
      <c r="A370" s="5" t="s">
        <v>377</v>
      </c>
      <c r="B370" s="3">
        <v>3</v>
      </c>
    </row>
    <row r="371" spans="1:2" x14ac:dyDescent="0.3">
      <c r="A371" s="5" t="s">
        <v>378</v>
      </c>
      <c r="B371" s="3">
        <v>3</v>
      </c>
    </row>
    <row r="372" spans="1:2" x14ac:dyDescent="0.3">
      <c r="A372" s="5" t="s">
        <v>379</v>
      </c>
      <c r="B372" s="3">
        <v>3</v>
      </c>
    </row>
    <row r="373" spans="1:2" x14ac:dyDescent="0.3">
      <c r="A373" s="5" t="s">
        <v>380</v>
      </c>
      <c r="B373" s="3">
        <v>3</v>
      </c>
    </row>
    <row r="374" spans="1:2" x14ac:dyDescent="0.3">
      <c r="A374" s="5" t="s">
        <v>381</v>
      </c>
      <c r="B374" s="3">
        <v>3</v>
      </c>
    </row>
    <row r="375" spans="1:2" x14ac:dyDescent="0.3">
      <c r="A375" s="5" t="s">
        <v>382</v>
      </c>
      <c r="B375" s="3">
        <v>3</v>
      </c>
    </row>
    <row r="376" spans="1:2" x14ac:dyDescent="0.3">
      <c r="A376" s="5" t="s">
        <v>383</v>
      </c>
      <c r="B376" s="3">
        <v>3</v>
      </c>
    </row>
    <row r="377" spans="1:2" x14ac:dyDescent="0.3">
      <c r="A377" s="5" t="s">
        <v>384</v>
      </c>
      <c r="B377" s="3">
        <v>3</v>
      </c>
    </row>
    <row r="378" spans="1:2" x14ac:dyDescent="0.3">
      <c r="A378" s="5" t="s">
        <v>385</v>
      </c>
      <c r="B378" s="3">
        <v>3</v>
      </c>
    </row>
    <row r="379" spans="1:2" x14ac:dyDescent="0.3">
      <c r="A379" s="5" t="s">
        <v>386</v>
      </c>
      <c r="B379" s="3">
        <v>3</v>
      </c>
    </row>
    <row r="380" spans="1:2" x14ac:dyDescent="0.3">
      <c r="A380" s="5" t="s">
        <v>387</v>
      </c>
      <c r="B380" s="3">
        <v>3</v>
      </c>
    </row>
    <row r="381" spans="1:2" x14ac:dyDescent="0.3">
      <c r="A381" s="5" t="s">
        <v>388</v>
      </c>
      <c r="B381" s="3">
        <v>3</v>
      </c>
    </row>
    <row r="382" spans="1:2" x14ac:dyDescent="0.3">
      <c r="A382" s="5" t="s">
        <v>389</v>
      </c>
      <c r="B382" s="3">
        <v>3</v>
      </c>
    </row>
    <row r="383" spans="1:2" x14ac:dyDescent="0.3">
      <c r="A383" s="5" t="s">
        <v>390</v>
      </c>
      <c r="B383" s="3">
        <v>3</v>
      </c>
    </row>
    <row r="384" spans="1:2" x14ac:dyDescent="0.3">
      <c r="A384" s="5" t="s">
        <v>391</v>
      </c>
      <c r="B384" s="3">
        <v>3</v>
      </c>
    </row>
    <row r="385" spans="1:2" x14ac:dyDescent="0.3">
      <c r="A385" s="5" t="s">
        <v>392</v>
      </c>
      <c r="B385" s="3">
        <v>3</v>
      </c>
    </row>
    <row r="386" spans="1:2" x14ac:dyDescent="0.3">
      <c r="A386" s="5" t="s">
        <v>393</v>
      </c>
      <c r="B386" s="3">
        <v>3</v>
      </c>
    </row>
    <row r="387" spans="1:2" x14ac:dyDescent="0.3">
      <c r="A387" s="5" t="s">
        <v>394</v>
      </c>
      <c r="B387" s="3">
        <v>3</v>
      </c>
    </row>
    <row r="388" spans="1:2" x14ac:dyDescent="0.3">
      <c r="A388" s="5" t="s">
        <v>395</v>
      </c>
      <c r="B388" s="3">
        <v>3</v>
      </c>
    </row>
    <row r="389" spans="1:2" x14ac:dyDescent="0.3">
      <c r="A389" s="5" t="s">
        <v>396</v>
      </c>
      <c r="B389" s="3">
        <v>3</v>
      </c>
    </row>
    <row r="390" spans="1:2" x14ac:dyDescent="0.3">
      <c r="A390" s="5" t="s">
        <v>397</v>
      </c>
      <c r="B390" s="3">
        <v>3</v>
      </c>
    </row>
    <row r="391" spans="1:2" x14ac:dyDescent="0.3">
      <c r="A391" s="5" t="s">
        <v>398</v>
      </c>
      <c r="B391" s="3">
        <v>3</v>
      </c>
    </row>
    <row r="392" spans="1:2" x14ac:dyDescent="0.3">
      <c r="A392" s="5" t="s">
        <v>399</v>
      </c>
      <c r="B392" s="3">
        <v>3</v>
      </c>
    </row>
    <row r="393" spans="1:2" x14ac:dyDescent="0.3">
      <c r="A393" s="5" t="s">
        <v>400</v>
      </c>
      <c r="B393" s="3">
        <v>3</v>
      </c>
    </row>
    <row r="394" spans="1:2" x14ac:dyDescent="0.3">
      <c r="A394" s="5" t="s">
        <v>401</v>
      </c>
      <c r="B394" s="3">
        <v>3</v>
      </c>
    </row>
    <row r="395" spans="1:2" x14ac:dyDescent="0.3">
      <c r="A395" s="5" t="s">
        <v>402</v>
      </c>
      <c r="B395" s="3">
        <v>3</v>
      </c>
    </row>
    <row r="396" spans="1:2" x14ac:dyDescent="0.3">
      <c r="A396" s="5" t="s">
        <v>403</v>
      </c>
      <c r="B396" s="3">
        <v>3</v>
      </c>
    </row>
    <row r="397" spans="1:2" x14ac:dyDescent="0.3">
      <c r="A397" s="5" t="s">
        <v>404</v>
      </c>
      <c r="B397" s="3">
        <v>3</v>
      </c>
    </row>
    <row r="398" spans="1:2" x14ac:dyDescent="0.3">
      <c r="A398" s="5" t="s">
        <v>405</v>
      </c>
      <c r="B398" s="3">
        <v>3</v>
      </c>
    </row>
    <row r="399" spans="1:2" x14ac:dyDescent="0.3">
      <c r="A399" s="5" t="s">
        <v>406</v>
      </c>
      <c r="B399" s="3">
        <v>3</v>
      </c>
    </row>
    <row r="400" spans="1:2" x14ac:dyDescent="0.3">
      <c r="A400" s="5" t="s">
        <v>407</v>
      </c>
      <c r="B400" s="3">
        <v>3</v>
      </c>
    </row>
    <row r="401" spans="1:2" x14ac:dyDescent="0.3">
      <c r="A401" s="5" t="s">
        <v>408</v>
      </c>
      <c r="B401" s="3">
        <v>3</v>
      </c>
    </row>
    <row r="402" spans="1:2" x14ac:dyDescent="0.3">
      <c r="A402" s="5" t="s">
        <v>409</v>
      </c>
      <c r="B402" s="3">
        <v>3</v>
      </c>
    </row>
    <row r="403" spans="1:2" x14ac:dyDescent="0.3">
      <c r="A403" s="5" t="s">
        <v>410</v>
      </c>
      <c r="B403" s="3">
        <v>3</v>
      </c>
    </row>
    <row r="404" spans="1:2" x14ac:dyDescent="0.3">
      <c r="A404" s="5" t="s">
        <v>411</v>
      </c>
      <c r="B404" s="3">
        <v>3</v>
      </c>
    </row>
    <row r="405" spans="1:2" x14ac:dyDescent="0.3">
      <c r="A405" s="5" t="s">
        <v>412</v>
      </c>
      <c r="B405" s="3">
        <v>3</v>
      </c>
    </row>
    <row r="406" spans="1:2" x14ac:dyDescent="0.3">
      <c r="A406" s="5" t="s">
        <v>413</v>
      </c>
      <c r="B406" s="3">
        <v>3</v>
      </c>
    </row>
    <row r="407" spans="1:2" x14ac:dyDescent="0.3">
      <c r="A407" s="5" t="s">
        <v>414</v>
      </c>
      <c r="B407" s="3">
        <v>3</v>
      </c>
    </row>
    <row r="408" spans="1:2" x14ac:dyDescent="0.3">
      <c r="A408" s="5" t="s">
        <v>415</v>
      </c>
      <c r="B408" s="3">
        <v>3</v>
      </c>
    </row>
    <row r="409" spans="1:2" x14ac:dyDescent="0.3">
      <c r="A409" s="5" t="s">
        <v>416</v>
      </c>
      <c r="B409" s="3">
        <v>3</v>
      </c>
    </row>
    <row r="410" spans="1:2" x14ac:dyDescent="0.3">
      <c r="A410" s="5" t="s">
        <v>417</v>
      </c>
      <c r="B410" s="3">
        <v>3</v>
      </c>
    </row>
    <row r="411" spans="1:2" x14ac:dyDescent="0.3">
      <c r="A411" s="5" t="s">
        <v>418</v>
      </c>
      <c r="B411" s="3">
        <v>3</v>
      </c>
    </row>
    <row r="412" spans="1:2" x14ac:dyDescent="0.3">
      <c r="A412" s="5" t="s">
        <v>419</v>
      </c>
      <c r="B412" s="3">
        <v>3</v>
      </c>
    </row>
    <row r="413" spans="1:2" x14ac:dyDescent="0.3">
      <c r="A413" s="5" t="s">
        <v>420</v>
      </c>
      <c r="B413" s="3">
        <v>3</v>
      </c>
    </row>
    <row r="414" spans="1:2" x14ac:dyDescent="0.3">
      <c r="A414" s="5" t="s">
        <v>421</v>
      </c>
      <c r="B414" s="3">
        <v>3</v>
      </c>
    </row>
    <row r="415" spans="1:2" x14ac:dyDescent="0.3">
      <c r="A415" s="5" t="s">
        <v>422</v>
      </c>
      <c r="B415" s="3">
        <v>3</v>
      </c>
    </row>
    <row r="416" spans="1:2" x14ac:dyDescent="0.3">
      <c r="A416" s="5" t="s">
        <v>423</v>
      </c>
      <c r="B416" s="3">
        <v>3</v>
      </c>
    </row>
    <row r="417" spans="1:2" x14ac:dyDescent="0.3">
      <c r="A417" s="5" t="s">
        <v>424</v>
      </c>
      <c r="B417" s="3">
        <v>3</v>
      </c>
    </row>
    <row r="418" spans="1:2" x14ac:dyDescent="0.3">
      <c r="A418" s="5" t="s">
        <v>425</v>
      </c>
      <c r="B418" s="3">
        <v>3</v>
      </c>
    </row>
    <row r="419" spans="1:2" x14ac:dyDescent="0.3">
      <c r="A419" s="5" t="s">
        <v>426</v>
      </c>
      <c r="B419" s="3">
        <v>3</v>
      </c>
    </row>
    <row r="420" spans="1:2" x14ac:dyDescent="0.3">
      <c r="A420" s="5" t="s">
        <v>427</v>
      </c>
      <c r="B420" s="3">
        <v>3</v>
      </c>
    </row>
    <row r="421" spans="1:2" x14ac:dyDescent="0.3">
      <c r="A421" s="5" t="s">
        <v>428</v>
      </c>
      <c r="B421" s="3">
        <v>3</v>
      </c>
    </row>
    <row r="422" spans="1:2" x14ac:dyDescent="0.3">
      <c r="A422" s="5" t="s">
        <v>429</v>
      </c>
      <c r="B422" s="3">
        <v>3</v>
      </c>
    </row>
    <row r="423" spans="1:2" x14ac:dyDescent="0.3">
      <c r="A423" s="5" t="s">
        <v>430</v>
      </c>
      <c r="B423" s="3">
        <v>3</v>
      </c>
    </row>
    <row r="424" spans="1:2" x14ac:dyDescent="0.3">
      <c r="A424" s="5" t="s">
        <v>431</v>
      </c>
      <c r="B424" s="3">
        <v>3</v>
      </c>
    </row>
    <row r="425" spans="1:2" x14ac:dyDescent="0.3">
      <c r="A425" s="5" t="s">
        <v>432</v>
      </c>
      <c r="B425" s="3">
        <v>3</v>
      </c>
    </row>
    <row r="426" spans="1:2" x14ac:dyDescent="0.3">
      <c r="A426" s="5" t="s">
        <v>433</v>
      </c>
      <c r="B426" s="3">
        <v>3</v>
      </c>
    </row>
    <row r="427" spans="1:2" x14ac:dyDescent="0.3">
      <c r="A427" s="5" t="s">
        <v>434</v>
      </c>
      <c r="B427" s="3">
        <v>3</v>
      </c>
    </row>
    <row r="428" spans="1:2" x14ac:dyDescent="0.3">
      <c r="A428" s="5" t="s">
        <v>435</v>
      </c>
      <c r="B428" s="3">
        <v>3</v>
      </c>
    </row>
    <row r="429" spans="1:2" x14ac:dyDescent="0.3">
      <c r="A429" s="5" t="s">
        <v>436</v>
      </c>
      <c r="B429" s="3">
        <v>3</v>
      </c>
    </row>
    <row r="430" spans="1:2" x14ac:dyDescent="0.3">
      <c r="A430" s="5" t="s">
        <v>437</v>
      </c>
      <c r="B430" s="3">
        <v>3</v>
      </c>
    </row>
    <row r="431" spans="1:2" x14ac:dyDescent="0.3">
      <c r="A431" s="5" t="s">
        <v>438</v>
      </c>
      <c r="B431" s="3">
        <v>3</v>
      </c>
    </row>
    <row r="432" spans="1:2" x14ac:dyDescent="0.3">
      <c r="A432" s="5" t="s">
        <v>439</v>
      </c>
      <c r="B432" s="3">
        <v>3</v>
      </c>
    </row>
    <row r="433" spans="1:2" x14ac:dyDescent="0.3">
      <c r="A433" s="5" t="s">
        <v>440</v>
      </c>
      <c r="B433" s="3">
        <v>3</v>
      </c>
    </row>
    <row r="434" spans="1:2" x14ac:dyDescent="0.3">
      <c r="A434" s="5" t="s">
        <v>441</v>
      </c>
      <c r="B434" s="3">
        <v>3</v>
      </c>
    </row>
    <row r="435" spans="1:2" x14ac:dyDescent="0.3">
      <c r="A435" s="5" t="s">
        <v>442</v>
      </c>
      <c r="B435" s="3">
        <v>3</v>
      </c>
    </row>
    <row r="436" spans="1:2" x14ac:dyDescent="0.3">
      <c r="A436" s="5" t="s">
        <v>443</v>
      </c>
      <c r="B436" s="3">
        <v>3</v>
      </c>
    </row>
    <row r="437" spans="1:2" x14ac:dyDescent="0.3">
      <c r="A437" s="5" t="s">
        <v>444</v>
      </c>
      <c r="B437" s="3">
        <v>3</v>
      </c>
    </row>
    <row r="438" spans="1:2" x14ac:dyDescent="0.3">
      <c r="A438" s="5" t="s">
        <v>445</v>
      </c>
      <c r="B438" s="3">
        <v>3</v>
      </c>
    </row>
    <row r="439" spans="1:2" x14ac:dyDescent="0.3">
      <c r="A439" s="5" t="s">
        <v>446</v>
      </c>
      <c r="B439" s="3">
        <v>3</v>
      </c>
    </row>
    <row r="440" spans="1:2" x14ac:dyDescent="0.3">
      <c r="A440" s="5" t="s">
        <v>447</v>
      </c>
      <c r="B440" s="3">
        <v>3</v>
      </c>
    </row>
    <row r="441" spans="1:2" x14ac:dyDescent="0.3">
      <c r="A441" s="5" t="s">
        <v>448</v>
      </c>
      <c r="B441" s="3">
        <v>3</v>
      </c>
    </row>
    <row r="442" spans="1:2" x14ac:dyDescent="0.3">
      <c r="A442" s="5" t="s">
        <v>449</v>
      </c>
      <c r="B442" s="3">
        <v>3</v>
      </c>
    </row>
    <row r="443" spans="1:2" x14ac:dyDescent="0.3">
      <c r="A443" s="5" t="s">
        <v>450</v>
      </c>
      <c r="B443" s="3">
        <v>3</v>
      </c>
    </row>
    <row r="444" spans="1:2" x14ac:dyDescent="0.3">
      <c r="A444" s="5" t="s">
        <v>451</v>
      </c>
      <c r="B444" s="3">
        <v>3</v>
      </c>
    </row>
    <row r="445" spans="1:2" x14ac:dyDescent="0.3">
      <c r="A445" s="5" t="s">
        <v>452</v>
      </c>
      <c r="B445" s="3">
        <v>3</v>
      </c>
    </row>
    <row r="446" spans="1:2" x14ac:dyDescent="0.3">
      <c r="A446" s="5" t="s">
        <v>453</v>
      </c>
      <c r="B446" s="3">
        <v>3</v>
      </c>
    </row>
    <row r="447" spans="1:2" x14ac:dyDescent="0.3">
      <c r="A447" s="5" t="s">
        <v>454</v>
      </c>
      <c r="B447" s="3">
        <v>3</v>
      </c>
    </row>
    <row r="448" spans="1:2" x14ac:dyDescent="0.3">
      <c r="A448" s="5" t="s">
        <v>455</v>
      </c>
      <c r="B448" s="3">
        <v>3</v>
      </c>
    </row>
    <row r="449" spans="1:2" x14ac:dyDescent="0.3">
      <c r="A449" s="5" t="s">
        <v>456</v>
      </c>
      <c r="B449" s="3">
        <v>3</v>
      </c>
    </row>
    <row r="450" spans="1:2" x14ac:dyDescent="0.3">
      <c r="A450" s="5" t="s">
        <v>457</v>
      </c>
      <c r="B450" s="3">
        <v>3</v>
      </c>
    </row>
    <row r="451" spans="1:2" x14ac:dyDescent="0.3">
      <c r="A451" s="5" t="s">
        <v>458</v>
      </c>
      <c r="B451" s="3">
        <v>3</v>
      </c>
    </row>
    <row r="452" spans="1:2" x14ac:dyDescent="0.3">
      <c r="A452" s="5" t="s">
        <v>459</v>
      </c>
      <c r="B452" s="3">
        <v>3</v>
      </c>
    </row>
    <row r="453" spans="1:2" x14ac:dyDescent="0.3">
      <c r="A453" s="5" t="s">
        <v>460</v>
      </c>
      <c r="B453" s="3">
        <v>3</v>
      </c>
    </row>
    <row r="454" spans="1:2" x14ac:dyDescent="0.3">
      <c r="A454" s="5" t="s">
        <v>461</v>
      </c>
      <c r="B454" s="3">
        <v>3</v>
      </c>
    </row>
    <row r="455" spans="1:2" x14ac:dyDescent="0.3">
      <c r="A455" s="5" t="s">
        <v>462</v>
      </c>
      <c r="B455" s="3">
        <v>3</v>
      </c>
    </row>
    <row r="456" spans="1:2" x14ac:dyDescent="0.3">
      <c r="A456" s="5" t="s">
        <v>463</v>
      </c>
      <c r="B456" s="3">
        <v>3</v>
      </c>
    </row>
    <row r="457" spans="1:2" x14ac:dyDescent="0.3">
      <c r="A457" s="5" t="s">
        <v>464</v>
      </c>
      <c r="B457" s="3">
        <v>3</v>
      </c>
    </row>
    <row r="458" spans="1:2" x14ac:dyDescent="0.3">
      <c r="A458" s="5" t="s">
        <v>465</v>
      </c>
      <c r="B458" s="3">
        <v>3</v>
      </c>
    </row>
    <row r="459" spans="1:2" x14ac:dyDescent="0.3">
      <c r="A459" s="5" t="s">
        <v>466</v>
      </c>
      <c r="B459" s="3">
        <v>3</v>
      </c>
    </row>
    <row r="460" spans="1:2" x14ac:dyDescent="0.3">
      <c r="A460" s="5" t="s">
        <v>467</v>
      </c>
      <c r="B460" s="3">
        <v>3</v>
      </c>
    </row>
    <row r="461" spans="1:2" x14ac:dyDescent="0.3">
      <c r="A461" s="5" t="s">
        <v>468</v>
      </c>
      <c r="B461" s="3">
        <v>3</v>
      </c>
    </row>
    <row r="462" spans="1:2" x14ac:dyDescent="0.3">
      <c r="A462" s="5" t="s">
        <v>469</v>
      </c>
      <c r="B462" s="3">
        <v>3</v>
      </c>
    </row>
    <row r="463" spans="1:2" x14ac:dyDescent="0.3">
      <c r="A463" s="5" t="s">
        <v>470</v>
      </c>
      <c r="B463" s="3">
        <v>3</v>
      </c>
    </row>
    <row r="464" spans="1:2" x14ac:dyDescent="0.3">
      <c r="A464" s="5" t="s">
        <v>471</v>
      </c>
      <c r="B464" s="3">
        <v>3</v>
      </c>
    </row>
    <row r="465" spans="1:2" x14ac:dyDescent="0.3">
      <c r="A465" s="5" t="s">
        <v>472</v>
      </c>
      <c r="B465" s="3">
        <v>3</v>
      </c>
    </row>
    <row r="466" spans="1:2" x14ac:dyDescent="0.3">
      <c r="A466" s="5" t="s">
        <v>473</v>
      </c>
      <c r="B466" s="3">
        <v>3</v>
      </c>
    </row>
    <row r="467" spans="1:2" x14ac:dyDescent="0.3">
      <c r="A467" s="5" t="s">
        <v>474</v>
      </c>
      <c r="B467" s="3">
        <v>3</v>
      </c>
    </row>
    <row r="468" spans="1:2" x14ac:dyDescent="0.3">
      <c r="A468" s="5" t="s">
        <v>475</v>
      </c>
      <c r="B468" s="3">
        <v>3</v>
      </c>
    </row>
    <row r="469" spans="1:2" x14ac:dyDescent="0.3">
      <c r="A469" s="5" t="s">
        <v>476</v>
      </c>
      <c r="B469" s="3">
        <v>3</v>
      </c>
    </row>
    <row r="470" spans="1:2" x14ac:dyDescent="0.3">
      <c r="A470" s="5" t="s">
        <v>477</v>
      </c>
      <c r="B470" s="3">
        <v>3</v>
      </c>
    </row>
    <row r="471" spans="1:2" x14ac:dyDescent="0.3">
      <c r="A471" s="5" t="s">
        <v>478</v>
      </c>
      <c r="B471" s="3">
        <v>3</v>
      </c>
    </row>
    <row r="472" spans="1:2" x14ac:dyDescent="0.3">
      <c r="A472" s="5" t="s">
        <v>479</v>
      </c>
      <c r="B472" s="3">
        <v>3</v>
      </c>
    </row>
    <row r="473" spans="1:2" x14ac:dyDescent="0.3">
      <c r="A473" s="5" t="s">
        <v>480</v>
      </c>
      <c r="B473" s="3">
        <v>3</v>
      </c>
    </row>
    <row r="474" spans="1:2" x14ac:dyDescent="0.3">
      <c r="A474" s="5" t="s">
        <v>481</v>
      </c>
      <c r="B474" s="3">
        <v>3</v>
      </c>
    </row>
    <row r="475" spans="1:2" x14ac:dyDescent="0.3">
      <c r="A475" s="5" t="s">
        <v>482</v>
      </c>
      <c r="B475" s="3">
        <v>3</v>
      </c>
    </row>
    <row r="476" spans="1:2" x14ac:dyDescent="0.3">
      <c r="A476" s="5" t="s">
        <v>483</v>
      </c>
      <c r="B476" s="3">
        <v>3</v>
      </c>
    </row>
    <row r="477" spans="1:2" x14ac:dyDescent="0.3">
      <c r="A477" s="5" t="s">
        <v>484</v>
      </c>
      <c r="B477" s="3">
        <v>3</v>
      </c>
    </row>
    <row r="478" spans="1:2" x14ac:dyDescent="0.3">
      <c r="A478" s="5" t="s">
        <v>485</v>
      </c>
      <c r="B478" s="3">
        <v>3</v>
      </c>
    </row>
    <row r="479" spans="1:2" x14ac:dyDescent="0.3">
      <c r="A479" s="5" t="s">
        <v>486</v>
      </c>
      <c r="B479" s="3">
        <v>3</v>
      </c>
    </row>
    <row r="480" spans="1:2" x14ac:dyDescent="0.3">
      <c r="A480" s="5" t="s">
        <v>487</v>
      </c>
      <c r="B480" s="3">
        <v>3</v>
      </c>
    </row>
    <row r="481" spans="1:2" x14ac:dyDescent="0.3">
      <c r="A481" s="5" t="s">
        <v>488</v>
      </c>
      <c r="B481" s="3">
        <v>3</v>
      </c>
    </row>
    <row r="482" spans="1:2" x14ac:dyDescent="0.3">
      <c r="A482" s="5" t="s">
        <v>489</v>
      </c>
      <c r="B482" s="3">
        <v>3</v>
      </c>
    </row>
    <row r="483" spans="1:2" x14ac:dyDescent="0.3">
      <c r="A483" s="5" t="s">
        <v>490</v>
      </c>
      <c r="B483" s="3">
        <v>3</v>
      </c>
    </row>
    <row r="484" spans="1:2" x14ac:dyDescent="0.3">
      <c r="A484" s="5" t="s">
        <v>491</v>
      </c>
      <c r="B484" s="3">
        <v>3</v>
      </c>
    </row>
    <row r="485" spans="1:2" x14ac:dyDescent="0.3">
      <c r="A485" s="5" t="s">
        <v>492</v>
      </c>
      <c r="B485" s="3">
        <v>3</v>
      </c>
    </row>
    <row r="486" spans="1:2" x14ac:dyDescent="0.3">
      <c r="A486" s="5" t="s">
        <v>493</v>
      </c>
      <c r="B486" s="3">
        <v>3</v>
      </c>
    </row>
    <row r="487" spans="1:2" x14ac:dyDescent="0.3">
      <c r="A487" s="5" t="s">
        <v>494</v>
      </c>
      <c r="B487" s="3">
        <v>3</v>
      </c>
    </row>
    <row r="488" spans="1:2" x14ac:dyDescent="0.3">
      <c r="A488" s="5" t="s">
        <v>495</v>
      </c>
      <c r="B488" s="3">
        <v>3</v>
      </c>
    </row>
    <row r="489" spans="1:2" x14ac:dyDescent="0.3">
      <c r="A489" s="5" t="s">
        <v>496</v>
      </c>
      <c r="B489" s="3">
        <v>3</v>
      </c>
    </row>
    <row r="490" spans="1:2" x14ac:dyDescent="0.3">
      <c r="A490" s="5" t="s">
        <v>497</v>
      </c>
      <c r="B490" s="3">
        <v>3</v>
      </c>
    </row>
    <row r="491" spans="1:2" x14ac:dyDescent="0.3">
      <c r="A491" s="5" t="s">
        <v>498</v>
      </c>
      <c r="B491" s="3">
        <v>3</v>
      </c>
    </row>
    <row r="492" spans="1:2" x14ac:dyDescent="0.3">
      <c r="A492" s="5" t="s">
        <v>499</v>
      </c>
      <c r="B492" s="3">
        <v>3</v>
      </c>
    </row>
    <row r="493" spans="1:2" x14ac:dyDescent="0.3">
      <c r="A493" s="5" t="s">
        <v>500</v>
      </c>
      <c r="B493" s="3">
        <v>3</v>
      </c>
    </row>
    <row r="494" spans="1:2" x14ac:dyDescent="0.3">
      <c r="A494" s="5" t="s">
        <v>501</v>
      </c>
      <c r="B494" s="3">
        <v>3</v>
      </c>
    </row>
    <row r="495" spans="1:2" x14ac:dyDescent="0.3">
      <c r="A495" s="5" t="s">
        <v>502</v>
      </c>
      <c r="B495" s="3">
        <v>3</v>
      </c>
    </row>
    <row r="496" spans="1:2" x14ac:dyDescent="0.3">
      <c r="A496" s="5" t="s">
        <v>503</v>
      </c>
      <c r="B496" s="3">
        <v>3</v>
      </c>
    </row>
    <row r="497" spans="1:2" x14ac:dyDescent="0.3">
      <c r="A497" s="5" t="s">
        <v>504</v>
      </c>
      <c r="B497" s="3">
        <v>3</v>
      </c>
    </row>
    <row r="498" spans="1:2" x14ac:dyDescent="0.3">
      <c r="A498" s="5" t="s">
        <v>505</v>
      </c>
      <c r="B498" s="3">
        <v>3</v>
      </c>
    </row>
    <row r="499" spans="1:2" x14ac:dyDescent="0.3">
      <c r="A499" s="5" t="s">
        <v>506</v>
      </c>
      <c r="B499" s="3">
        <v>3</v>
      </c>
    </row>
    <row r="500" spans="1:2" x14ac:dyDescent="0.3">
      <c r="A500" s="5" t="s">
        <v>507</v>
      </c>
      <c r="B500" s="3">
        <v>3</v>
      </c>
    </row>
    <row r="501" spans="1:2" x14ac:dyDescent="0.3">
      <c r="A501" s="5" t="s">
        <v>508</v>
      </c>
      <c r="B501" s="3">
        <v>3</v>
      </c>
    </row>
    <row r="502" spans="1:2" x14ac:dyDescent="0.3">
      <c r="A502" s="5" t="s">
        <v>509</v>
      </c>
      <c r="B502" s="3">
        <v>3</v>
      </c>
    </row>
    <row r="503" spans="1:2" x14ac:dyDescent="0.3">
      <c r="A503" s="5" t="s">
        <v>510</v>
      </c>
      <c r="B503" s="3">
        <v>3</v>
      </c>
    </row>
    <row r="504" spans="1:2" x14ac:dyDescent="0.3">
      <c r="A504" s="5" t="s">
        <v>511</v>
      </c>
      <c r="B504" s="3">
        <v>3</v>
      </c>
    </row>
    <row r="505" spans="1:2" x14ac:dyDescent="0.3">
      <c r="A505" s="5" t="s">
        <v>512</v>
      </c>
      <c r="B505" s="3">
        <v>3</v>
      </c>
    </row>
    <row r="506" spans="1:2" x14ac:dyDescent="0.3">
      <c r="A506" s="5" t="s">
        <v>513</v>
      </c>
      <c r="B506" s="3">
        <v>3</v>
      </c>
    </row>
    <row r="507" spans="1:2" x14ac:dyDescent="0.3">
      <c r="A507" s="5" t="s">
        <v>514</v>
      </c>
      <c r="B507" s="3">
        <v>3</v>
      </c>
    </row>
    <row r="508" spans="1:2" x14ac:dyDescent="0.3">
      <c r="A508" s="5" t="s">
        <v>515</v>
      </c>
      <c r="B508" s="3">
        <v>3</v>
      </c>
    </row>
    <row r="509" spans="1:2" x14ac:dyDescent="0.3">
      <c r="A509" s="5" t="s">
        <v>516</v>
      </c>
      <c r="B509" s="3">
        <v>3</v>
      </c>
    </row>
    <row r="510" spans="1:2" x14ac:dyDescent="0.3">
      <c r="A510" s="5" t="s">
        <v>517</v>
      </c>
      <c r="B510" s="3">
        <v>3</v>
      </c>
    </row>
    <row r="511" spans="1:2" x14ac:dyDescent="0.3">
      <c r="A511" s="5" t="s">
        <v>518</v>
      </c>
      <c r="B511" s="3">
        <v>3</v>
      </c>
    </row>
    <row r="512" spans="1:2" x14ac:dyDescent="0.3">
      <c r="A512" s="5" t="s">
        <v>519</v>
      </c>
      <c r="B512" s="3">
        <v>3</v>
      </c>
    </row>
    <row r="513" spans="1:2" x14ac:dyDescent="0.3">
      <c r="A513" s="5" t="s">
        <v>520</v>
      </c>
      <c r="B513" s="3">
        <v>3</v>
      </c>
    </row>
    <row r="514" spans="1:2" x14ac:dyDescent="0.3">
      <c r="A514" s="5" t="s">
        <v>521</v>
      </c>
      <c r="B514" s="3">
        <v>3</v>
      </c>
    </row>
    <row r="515" spans="1:2" x14ac:dyDescent="0.3">
      <c r="A515" s="5" t="s">
        <v>522</v>
      </c>
      <c r="B515" s="3">
        <v>3</v>
      </c>
    </row>
    <row r="516" spans="1:2" x14ac:dyDescent="0.3">
      <c r="A516" s="5" t="s">
        <v>523</v>
      </c>
      <c r="B516" s="3">
        <v>2</v>
      </c>
    </row>
    <row r="517" spans="1:2" x14ac:dyDescent="0.3">
      <c r="A517" s="5" t="s">
        <v>524</v>
      </c>
      <c r="B517" s="3">
        <v>2</v>
      </c>
    </row>
    <row r="518" spans="1:2" x14ac:dyDescent="0.3">
      <c r="A518" s="5" t="s">
        <v>525</v>
      </c>
      <c r="B518" s="3">
        <v>2</v>
      </c>
    </row>
    <row r="519" spans="1:2" x14ac:dyDescent="0.3">
      <c r="A519" s="5" t="s">
        <v>526</v>
      </c>
      <c r="B519" s="3">
        <v>2</v>
      </c>
    </row>
    <row r="520" spans="1:2" x14ac:dyDescent="0.3">
      <c r="A520" s="5" t="s">
        <v>527</v>
      </c>
      <c r="B520" s="3">
        <v>2</v>
      </c>
    </row>
    <row r="521" spans="1:2" x14ac:dyDescent="0.3">
      <c r="A521" s="5" t="s">
        <v>528</v>
      </c>
      <c r="B521" s="3">
        <v>2</v>
      </c>
    </row>
    <row r="522" spans="1:2" x14ac:dyDescent="0.3">
      <c r="A522" s="5" t="s">
        <v>529</v>
      </c>
      <c r="B522" s="3">
        <v>2</v>
      </c>
    </row>
    <row r="523" spans="1:2" x14ac:dyDescent="0.3">
      <c r="A523" s="5" t="s">
        <v>530</v>
      </c>
      <c r="B523" s="3">
        <v>2</v>
      </c>
    </row>
    <row r="524" spans="1:2" x14ac:dyDescent="0.3">
      <c r="A524" s="5" t="s">
        <v>531</v>
      </c>
      <c r="B524" s="3">
        <v>2</v>
      </c>
    </row>
    <row r="525" spans="1:2" x14ac:dyDescent="0.3">
      <c r="A525" s="5" t="s">
        <v>532</v>
      </c>
      <c r="B525" s="3">
        <v>2</v>
      </c>
    </row>
    <row r="526" spans="1:2" x14ac:dyDescent="0.3">
      <c r="A526" s="5" t="s">
        <v>533</v>
      </c>
      <c r="B526" s="3">
        <v>2</v>
      </c>
    </row>
    <row r="527" spans="1:2" x14ac:dyDescent="0.3">
      <c r="A527" s="5" t="s">
        <v>534</v>
      </c>
      <c r="B527" s="3">
        <v>2</v>
      </c>
    </row>
    <row r="528" spans="1:2" x14ac:dyDescent="0.3">
      <c r="A528" s="5" t="s">
        <v>535</v>
      </c>
      <c r="B528" s="3">
        <v>2</v>
      </c>
    </row>
    <row r="529" spans="1:2" x14ac:dyDescent="0.3">
      <c r="A529" s="5" t="s">
        <v>536</v>
      </c>
      <c r="B529" s="3">
        <v>2</v>
      </c>
    </row>
    <row r="530" spans="1:2" x14ac:dyDescent="0.3">
      <c r="A530" s="5" t="s">
        <v>537</v>
      </c>
      <c r="B530" s="3">
        <v>2</v>
      </c>
    </row>
    <row r="531" spans="1:2" x14ac:dyDescent="0.3">
      <c r="A531" s="5" t="s">
        <v>538</v>
      </c>
      <c r="B531" s="3">
        <v>2</v>
      </c>
    </row>
    <row r="532" spans="1:2" x14ac:dyDescent="0.3">
      <c r="A532" s="5" t="s">
        <v>539</v>
      </c>
      <c r="B532" s="3">
        <v>2</v>
      </c>
    </row>
    <row r="533" spans="1:2" x14ac:dyDescent="0.3">
      <c r="A533" s="5" t="s">
        <v>540</v>
      </c>
      <c r="B533" s="3">
        <v>2</v>
      </c>
    </row>
    <row r="534" spans="1:2" x14ac:dyDescent="0.3">
      <c r="A534" s="5" t="s">
        <v>541</v>
      </c>
      <c r="B534" s="3">
        <v>2</v>
      </c>
    </row>
    <row r="535" spans="1:2" x14ac:dyDescent="0.3">
      <c r="A535" s="5" t="s">
        <v>542</v>
      </c>
      <c r="B535" s="3">
        <v>2</v>
      </c>
    </row>
    <row r="536" spans="1:2" x14ac:dyDescent="0.3">
      <c r="A536" s="5" t="s">
        <v>543</v>
      </c>
      <c r="B536" s="3">
        <v>2</v>
      </c>
    </row>
    <row r="537" spans="1:2" x14ac:dyDescent="0.3">
      <c r="A537" s="5" t="s">
        <v>544</v>
      </c>
      <c r="B537" s="3">
        <v>2</v>
      </c>
    </row>
    <row r="538" spans="1:2" x14ac:dyDescent="0.3">
      <c r="A538" s="5" t="s">
        <v>545</v>
      </c>
      <c r="B538" s="3">
        <v>2</v>
      </c>
    </row>
    <row r="539" spans="1:2" x14ac:dyDescent="0.3">
      <c r="A539" s="5" t="s">
        <v>546</v>
      </c>
      <c r="B539" s="3">
        <v>2</v>
      </c>
    </row>
    <row r="540" spans="1:2" x14ac:dyDescent="0.3">
      <c r="A540" s="5" t="s">
        <v>547</v>
      </c>
      <c r="B540" s="3">
        <v>2</v>
      </c>
    </row>
    <row r="541" spans="1:2" x14ac:dyDescent="0.3">
      <c r="A541" s="5" t="s">
        <v>548</v>
      </c>
      <c r="B541" s="3">
        <v>2</v>
      </c>
    </row>
    <row r="542" spans="1:2" x14ac:dyDescent="0.3">
      <c r="A542" s="5" t="s">
        <v>549</v>
      </c>
      <c r="B542" s="3">
        <v>2</v>
      </c>
    </row>
    <row r="543" spans="1:2" x14ac:dyDescent="0.3">
      <c r="A543" s="5" t="s">
        <v>550</v>
      </c>
      <c r="B543" s="3">
        <v>2</v>
      </c>
    </row>
    <row r="544" spans="1:2" x14ac:dyDescent="0.3">
      <c r="A544" s="5" t="s">
        <v>551</v>
      </c>
      <c r="B544" s="3">
        <v>2</v>
      </c>
    </row>
    <row r="545" spans="1:2" x14ac:dyDescent="0.3">
      <c r="A545" s="5" t="s">
        <v>552</v>
      </c>
      <c r="B545" s="3">
        <v>2</v>
      </c>
    </row>
    <row r="546" spans="1:2" x14ac:dyDescent="0.3">
      <c r="A546" s="5" t="s">
        <v>553</v>
      </c>
      <c r="B546" s="3">
        <v>2</v>
      </c>
    </row>
    <row r="547" spans="1:2" x14ac:dyDescent="0.3">
      <c r="A547" s="5" t="s">
        <v>554</v>
      </c>
      <c r="B547" s="3">
        <v>2</v>
      </c>
    </row>
    <row r="548" spans="1:2" x14ac:dyDescent="0.3">
      <c r="A548" s="5" t="s">
        <v>555</v>
      </c>
      <c r="B548" s="3">
        <v>2</v>
      </c>
    </row>
    <row r="549" spans="1:2" x14ac:dyDescent="0.3">
      <c r="A549" s="5" t="s">
        <v>556</v>
      </c>
      <c r="B549" s="3">
        <v>2</v>
      </c>
    </row>
    <row r="550" spans="1:2" x14ac:dyDescent="0.3">
      <c r="A550" s="5" t="s">
        <v>557</v>
      </c>
      <c r="B550" s="3">
        <v>2</v>
      </c>
    </row>
    <row r="551" spans="1:2" x14ac:dyDescent="0.3">
      <c r="A551" s="5" t="s">
        <v>558</v>
      </c>
      <c r="B551" s="3">
        <v>2</v>
      </c>
    </row>
    <row r="552" spans="1:2" x14ac:dyDescent="0.3">
      <c r="A552" s="5" t="s">
        <v>559</v>
      </c>
      <c r="B552" s="3">
        <v>2</v>
      </c>
    </row>
    <row r="553" spans="1:2" x14ac:dyDescent="0.3">
      <c r="A553" s="5" t="s">
        <v>560</v>
      </c>
      <c r="B553" s="3">
        <v>2</v>
      </c>
    </row>
    <row r="554" spans="1:2" x14ac:dyDescent="0.3">
      <c r="A554" s="5" t="s">
        <v>561</v>
      </c>
      <c r="B554" s="3">
        <v>2</v>
      </c>
    </row>
    <row r="555" spans="1:2" x14ac:dyDescent="0.3">
      <c r="A555" s="5" t="s">
        <v>562</v>
      </c>
      <c r="B555" s="3">
        <v>2</v>
      </c>
    </row>
    <row r="556" spans="1:2" x14ac:dyDescent="0.3">
      <c r="A556" s="5" t="s">
        <v>563</v>
      </c>
      <c r="B556" s="3">
        <v>2</v>
      </c>
    </row>
    <row r="557" spans="1:2" x14ac:dyDescent="0.3">
      <c r="A557" s="5" t="s">
        <v>564</v>
      </c>
      <c r="B557" s="3">
        <v>2</v>
      </c>
    </row>
    <row r="558" spans="1:2" x14ac:dyDescent="0.3">
      <c r="A558" s="5" t="s">
        <v>565</v>
      </c>
      <c r="B558" s="3">
        <v>2</v>
      </c>
    </row>
    <row r="559" spans="1:2" x14ac:dyDescent="0.3">
      <c r="A559" s="5" t="s">
        <v>566</v>
      </c>
      <c r="B559" s="3">
        <v>2</v>
      </c>
    </row>
    <row r="560" spans="1:2" x14ac:dyDescent="0.3">
      <c r="A560" s="5" t="s">
        <v>567</v>
      </c>
      <c r="B560" s="3">
        <v>2</v>
      </c>
    </row>
    <row r="561" spans="1:2" x14ac:dyDescent="0.3">
      <c r="A561" s="5" t="s">
        <v>568</v>
      </c>
      <c r="B561" s="3">
        <v>2</v>
      </c>
    </row>
    <row r="562" spans="1:2" x14ac:dyDescent="0.3">
      <c r="A562" s="5" t="s">
        <v>569</v>
      </c>
      <c r="B562" s="3">
        <v>2</v>
      </c>
    </row>
    <row r="563" spans="1:2" x14ac:dyDescent="0.3">
      <c r="A563" s="5" t="s">
        <v>570</v>
      </c>
      <c r="B563" s="3">
        <v>2</v>
      </c>
    </row>
    <row r="564" spans="1:2" x14ac:dyDescent="0.3">
      <c r="A564" s="5" t="s">
        <v>571</v>
      </c>
      <c r="B564" s="3">
        <v>2</v>
      </c>
    </row>
    <row r="565" spans="1:2" x14ac:dyDescent="0.3">
      <c r="A565" s="5" t="s">
        <v>572</v>
      </c>
      <c r="B565" s="3">
        <v>2</v>
      </c>
    </row>
    <row r="566" spans="1:2" x14ac:dyDescent="0.3">
      <c r="A566" s="5" t="s">
        <v>573</v>
      </c>
      <c r="B566" s="3">
        <v>2</v>
      </c>
    </row>
    <row r="567" spans="1:2" x14ac:dyDescent="0.3">
      <c r="A567" s="5" t="s">
        <v>574</v>
      </c>
      <c r="B567" s="3">
        <v>2</v>
      </c>
    </row>
    <row r="568" spans="1:2" x14ac:dyDescent="0.3">
      <c r="A568" s="5" t="s">
        <v>575</v>
      </c>
      <c r="B568" s="3">
        <v>2</v>
      </c>
    </row>
    <row r="569" spans="1:2" x14ac:dyDescent="0.3">
      <c r="A569" s="5" t="s">
        <v>576</v>
      </c>
      <c r="B569" s="3">
        <v>2</v>
      </c>
    </row>
    <row r="570" spans="1:2" x14ac:dyDescent="0.3">
      <c r="A570" s="5" t="s">
        <v>577</v>
      </c>
      <c r="B570" s="3">
        <v>2</v>
      </c>
    </row>
    <row r="571" spans="1:2" x14ac:dyDescent="0.3">
      <c r="A571" s="5" t="s">
        <v>578</v>
      </c>
      <c r="B571" s="3">
        <v>2</v>
      </c>
    </row>
    <row r="572" spans="1:2" x14ac:dyDescent="0.3">
      <c r="A572" s="5" t="s">
        <v>579</v>
      </c>
      <c r="B572" s="3">
        <v>2</v>
      </c>
    </row>
    <row r="573" spans="1:2" x14ac:dyDescent="0.3">
      <c r="A573" s="5" t="s">
        <v>580</v>
      </c>
      <c r="B573" s="3">
        <v>2</v>
      </c>
    </row>
    <row r="574" spans="1:2" x14ac:dyDescent="0.3">
      <c r="A574" s="5" t="s">
        <v>581</v>
      </c>
      <c r="B574" s="3">
        <v>2</v>
      </c>
    </row>
    <row r="575" spans="1:2" x14ac:dyDescent="0.3">
      <c r="A575" s="5" t="s">
        <v>582</v>
      </c>
      <c r="B575" s="3">
        <v>2</v>
      </c>
    </row>
    <row r="576" spans="1:2" x14ac:dyDescent="0.3">
      <c r="A576" s="5" t="s">
        <v>583</v>
      </c>
      <c r="B576" s="3">
        <v>2</v>
      </c>
    </row>
    <row r="577" spans="1:2" x14ac:dyDescent="0.3">
      <c r="A577" s="5" t="s">
        <v>584</v>
      </c>
      <c r="B577" s="3">
        <v>2</v>
      </c>
    </row>
    <row r="578" spans="1:2" x14ac:dyDescent="0.3">
      <c r="A578" s="5" t="s">
        <v>585</v>
      </c>
      <c r="B578" s="3">
        <v>2</v>
      </c>
    </row>
    <row r="579" spans="1:2" x14ac:dyDescent="0.3">
      <c r="A579" s="5" t="s">
        <v>586</v>
      </c>
      <c r="B579" s="3">
        <v>2</v>
      </c>
    </row>
    <row r="580" spans="1:2" x14ac:dyDescent="0.3">
      <c r="A580" s="5" t="s">
        <v>587</v>
      </c>
      <c r="B580" s="3">
        <v>2</v>
      </c>
    </row>
    <row r="581" spans="1:2" x14ac:dyDescent="0.3">
      <c r="A581" s="5" t="s">
        <v>588</v>
      </c>
      <c r="B581" s="3">
        <v>2</v>
      </c>
    </row>
    <row r="582" spans="1:2" x14ac:dyDescent="0.3">
      <c r="A582" s="5" t="s">
        <v>589</v>
      </c>
      <c r="B582" s="3">
        <v>2</v>
      </c>
    </row>
    <row r="583" spans="1:2" x14ac:dyDescent="0.3">
      <c r="A583" s="5" t="s">
        <v>590</v>
      </c>
      <c r="B583" s="3">
        <v>2</v>
      </c>
    </row>
    <row r="584" spans="1:2" x14ac:dyDescent="0.3">
      <c r="A584" s="5" t="s">
        <v>591</v>
      </c>
      <c r="B584" s="3">
        <v>2</v>
      </c>
    </row>
    <row r="585" spans="1:2" x14ac:dyDescent="0.3">
      <c r="A585" s="5" t="s">
        <v>592</v>
      </c>
      <c r="B585" s="3">
        <v>2</v>
      </c>
    </row>
    <row r="586" spans="1:2" x14ac:dyDescent="0.3">
      <c r="A586" s="5" t="s">
        <v>593</v>
      </c>
      <c r="B586" s="3">
        <v>2</v>
      </c>
    </row>
    <row r="587" spans="1:2" x14ac:dyDescent="0.3">
      <c r="A587" s="5" t="s">
        <v>594</v>
      </c>
      <c r="B587" s="3">
        <v>2</v>
      </c>
    </row>
    <row r="588" spans="1:2" x14ac:dyDescent="0.3">
      <c r="A588" s="5" t="s">
        <v>595</v>
      </c>
      <c r="B588" s="3">
        <v>2</v>
      </c>
    </row>
    <row r="589" spans="1:2" x14ac:dyDescent="0.3">
      <c r="A589" s="5" t="s">
        <v>596</v>
      </c>
      <c r="B589" s="3">
        <v>2</v>
      </c>
    </row>
    <row r="590" spans="1:2" x14ac:dyDescent="0.3">
      <c r="A590" s="5" t="s">
        <v>597</v>
      </c>
      <c r="B590" s="3">
        <v>2</v>
      </c>
    </row>
    <row r="591" spans="1:2" x14ac:dyDescent="0.3">
      <c r="A591" s="5" t="s">
        <v>598</v>
      </c>
      <c r="B591" s="3">
        <v>2</v>
      </c>
    </row>
    <row r="592" spans="1:2" x14ac:dyDescent="0.3">
      <c r="A592" s="5" t="s">
        <v>599</v>
      </c>
      <c r="B592" s="3">
        <v>2</v>
      </c>
    </row>
    <row r="593" spans="1:2" x14ac:dyDescent="0.3">
      <c r="A593" s="5" t="s">
        <v>600</v>
      </c>
      <c r="B593" s="3">
        <v>2</v>
      </c>
    </row>
    <row r="594" spans="1:2" x14ac:dyDescent="0.3">
      <c r="A594" s="5" t="s">
        <v>601</v>
      </c>
      <c r="B594" s="3">
        <v>2</v>
      </c>
    </row>
    <row r="595" spans="1:2" x14ac:dyDescent="0.3">
      <c r="A595" s="5" t="s">
        <v>602</v>
      </c>
      <c r="B595" s="3">
        <v>2</v>
      </c>
    </row>
    <row r="596" spans="1:2" x14ac:dyDescent="0.3">
      <c r="A596" s="5" t="s">
        <v>603</v>
      </c>
      <c r="B596" s="3">
        <v>2</v>
      </c>
    </row>
    <row r="597" spans="1:2" x14ac:dyDescent="0.3">
      <c r="A597" s="5" t="s">
        <v>604</v>
      </c>
      <c r="B597" s="3">
        <v>2</v>
      </c>
    </row>
    <row r="598" spans="1:2" x14ac:dyDescent="0.3">
      <c r="A598" s="5" t="s">
        <v>605</v>
      </c>
      <c r="B598" s="3">
        <v>2</v>
      </c>
    </row>
    <row r="599" spans="1:2" x14ac:dyDescent="0.3">
      <c r="A599" s="5" t="s">
        <v>606</v>
      </c>
      <c r="B599" s="3">
        <v>2</v>
      </c>
    </row>
    <row r="600" spans="1:2" x14ac:dyDescent="0.3">
      <c r="A600" s="5" t="s">
        <v>607</v>
      </c>
      <c r="B600" s="3">
        <v>2</v>
      </c>
    </row>
    <row r="601" spans="1:2" x14ac:dyDescent="0.3">
      <c r="A601" s="5" t="s">
        <v>608</v>
      </c>
      <c r="B601" s="3">
        <v>2</v>
      </c>
    </row>
    <row r="602" spans="1:2" x14ac:dyDescent="0.3">
      <c r="A602" s="5" t="s">
        <v>609</v>
      </c>
      <c r="B602" s="3">
        <v>2</v>
      </c>
    </row>
    <row r="603" spans="1:2" x14ac:dyDescent="0.3">
      <c r="A603" s="5" t="s">
        <v>610</v>
      </c>
      <c r="B603" s="3">
        <v>2</v>
      </c>
    </row>
    <row r="604" spans="1:2" x14ac:dyDescent="0.3">
      <c r="A604" s="5" t="s">
        <v>611</v>
      </c>
      <c r="B604" s="3">
        <v>2</v>
      </c>
    </row>
    <row r="605" spans="1:2" x14ac:dyDescent="0.3">
      <c r="A605" s="5" t="s">
        <v>612</v>
      </c>
      <c r="B605" s="3">
        <v>2</v>
      </c>
    </row>
    <row r="606" spans="1:2" x14ac:dyDescent="0.3">
      <c r="A606" s="5" t="s">
        <v>613</v>
      </c>
      <c r="B606" s="3">
        <v>2</v>
      </c>
    </row>
    <row r="607" spans="1:2" x14ac:dyDescent="0.3">
      <c r="A607" s="5" t="s">
        <v>614</v>
      </c>
      <c r="B607" s="3">
        <v>2</v>
      </c>
    </row>
    <row r="608" spans="1:2" x14ac:dyDescent="0.3">
      <c r="A608" s="5" t="s">
        <v>615</v>
      </c>
      <c r="B608" s="3">
        <v>2</v>
      </c>
    </row>
    <row r="609" spans="1:2" x14ac:dyDescent="0.3">
      <c r="A609" s="5" t="s">
        <v>616</v>
      </c>
      <c r="B609" s="3">
        <v>2</v>
      </c>
    </row>
    <row r="610" spans="1:2" x14ac:dyDescent="0.3">
      <c r="A610" s="5" t="s">
        <v>617</v>
      </c>
      <c r="B610" s="3">
        <v>2</v>
      </c>
    </row>
    <row r="611" spans="1:2" x14ac:dyDescent="0.3">
      <c r="A611" s="5" t="s">
        <v>618</v>
      </c>
      <c r="B611" s="3">
        <v>2</v>
      </c>
    </row>
    <row r="612" spans="1:2" x14ac:dyDescent="0.3">
      <c r="A612" s="5" t="s">
        <v>619</v>
      </c>
      <c r="B612" s="3">
        <v>2</v>
      </c>
    </row>
    <row r="613" spans="1:2" x14ac:dyDescent="0.3">
      <c r="A613" s="5" t="s">
        <v>620</v>
      </c>
      <c r="B613" s="3">
        <v>2</v>
      </c>
    </row>
    <row r="614" spans="1:2" x14ac:dyDescent="0.3">
      <c r="A614" s="5" t="s">
        <v>621</v>
      </c>
      <c r="B614" s="3">
        <v>2</v>
      </c>
    </row>
    <row r="615" spans="1:2" x14ac:dyDescent="0.3">
      <c r="A615" s="5" t="s">
        <v>622</v>
      </c>
      <c r="B615" s="3">
        <v>2</v>
      </c>
    </row>
    <row r="616" spans="1:2" x14ac:dyDescent="0.3">
      <c r="A616" s="5" t="s">
        <v>623</v>
      </c>
      <c r="B616" s="3">
        <v>2</v>
      </c>
    </row>
    <row r="617" spans="1:2" x14ac:dyDescent="0.3">
      <c r="A617" s="5" t="s">
        <v>624</v>
      </c>
      <c r="B617" s="3">
        <v>2</v>
      </c>
    </row>
    <row r="618" spans="1:2" x14ac:dyDescent="0.3">
      <c r="A618" s="5" t="s">
        <v>625</v>
      </c>
      <c r="B618" s="3">
        <v>2</v>
      </c>
    </row>
    <row r="619" spans="1:2" x14ac:dyDescent="0.3">
      <c r="A619" s="5" t="s">
        <v>626</v>
      </c>
      <c r="B619" s="3">
        <v>2</v>
      </c>
    </row>
    <row r="620" spans="1:2" x14ac:dyDescent="0.3">
      <c r="A620" s="5" t="s">
        <v>627</v>
      </c>
      <c r="B620" s="3">
        <v>2</v>
      </c>
    </row>
    <row r="621" spans="1:2" x14ac:dyDescent="0.3">
      <c r="A621" s="5" t="s">
        <v>628</v>
      </c>
      <c r="B621" s="3">
        <v>2</v>
      </c>
    </row>
    <row r="622" spans="1:2" x14ac:dyDescent="0.3">
      <c r="A622" s="5" t="s">
        <v>629</v>
      </c>
      <c r="B622" s="3">
        <v>2</v>
      </c>
    </row>
    <row r="623" spans="1:2" x14ac:dyDescent="0.3">
      <c r="A623" s="5" t="s">
        <v>630</v>
      </c>
      <c r="B623" s="3">
        <v>2</v>
      </c>
    </row>
    <row r="624" spans="1:2" x14ac:dyDescent="0.3">
      <c r="A624" s="5" t="s">
        <v>631</v>
      </c>
      <c r="B624" s="3">
        <v>2</v>
      </c>
    </row>
    <row r="625" spans="1:2" x14ac:dyDescent="0.3">
      <c r="A625" s="5" t="s">
        <v>632</v>
      </c>
      <c r="B625" s="3">
        <v>2</v>
      </c>
    </row>
    <row r="626" spans="1:2" x14ac:dyDescent="0.3">
      <c r="A626" s="5" t="s">
        <v>633</v>
      </c>
      <c r="B626" s="3">
        <v>2</v>
      </c>
    </row>
    <row r="627" spans="1:2" x14ac:dyDescent="0.3">
      <c r="A627" s="5" t="s">
        <v>634</v>
      </c>
      <c r="B627" s="3">
        <v>2</v>
      </c>
    </row>
    <row r="628" spans="1:2" x14ac:dyDescent="0.3">
      <c r="A628" s="5" t="s">
        <v>635</v>
      </c>
      <c r="B628" s="3">
        <v>2</v>
      </c>
    </row>
    <row r="629" spans="1:2" x14ac:dyDescent="0.3">
      <c r="A629" s="5" t="s">
        <v>636</v>
      </c>
      <c r="B629" s="3">
        <v>2</v>
      </c>
    </row>
    <row r="630" spans="1:2" x14ac:dyDescent="0.3">
      <c r="A630" s="5" t="s">
        <v>637</v>
      </c>
      <c r="B630" s="3">
        <v>2</v>
      </c>
    </row>
    <row r="631" spans="1:2" x14ac:dyDescent="0.3">
      <c r="A631" s="5" t="s">
        <v>638</v>
      </c>
      <c r="B631" s="3">
        <v>2</v>
      </c>
    </row>
    <row r="632" spans="1:2" x14ac:dyDescent="0.3">
      <c r="A632" s="5" t="s">
        <v>639</v>
      </c>
      <c r="B632" s="3">
        <v>2</v>
      </c>
    </row>
    <row r="633" spans="1:2" x14ac:dyDescent="0.3">
      <c r="A633" s="5" t="s">
        <v>640</v>
      </c>
      <c r="B633" s="3">
        <v>2</v>
      </c>
    </row>
    <row r="634" spans="1:2" x14ac:dyDescent="0.3">
      <c r="A634" s="5" t="s">
        <v>641</v>
      </c>
      <c r="B634" s="3">
        <v>2</v>
      </c>
    </row>
    <row r="635" spans="1:2" x14ac:dyDescent="0.3">
      <c r="A635" s="5" t="s">
        <v>642</v>
      </c>
      <c r="B635" s="3">
        <v>2</v>
      </c>
    </row>
    <row r="636" spans="1:2" x14ac:dyDescent="0.3">
      <c r="A636" s="5" t="s">
        <v>643</v>
      </c>
      <c r="B636" s="3">
        <v>2</v>
      </c>
    </row>
    <row r="637" spans="1:2" x14ac:dyDescent="0.3">
      <c r="A637" s="5" t="s">
        <v>644</v>
      </c>
      <c r="B637" s="3">
        <v>2</v>
      </c>
    </row>
    <row r="638" spans="1:2" x14ac:dyDescent="0.3">
      <c r="A638" s="5" t="s">
        <v>645</v>
      </c>
      <c r="B638" s="3">
        <v>2</v>
      </c>
    </row>
    <row r="639" spans="1:2" x14ac:dyDescent="0.3">
      <c r="A639" s="5" t="s">
        <v>646</v>
      </c>
      <c r="B639" s="3">
        <v>2</v>
      </c>
    </row>
    <row r="640" spans="1:2" x14ac:dyDescent="0.3">
      <c r="A640" s="5" t="s">
        <v>647</v>
      </c>
      <c r="B640" s="3">
        <v>2</v>
      </c>
    </row>
    <row r="641" spans="1:2" x14ac:dyDescent="0.3">
      <c r="A641" s="5" t="s">
        <v>648</v>
      </c>
      <c r="B641" s="3">
        <v>2</v>
      </c>
    </row>
    <row r="642" spans="1:2" x14ac:dyDescent="0.3">
      <c r="A642" s="5" t="s">
        <v>649</v>
      </c>
      <c r="B642" s="3">
        <v>2</v>
      </c>
    </row>
    <row r="643" spans="1:2" x14ac:dyDescent="0.3">
      <c r="A643" s="5" t="s">
        <v>650</v>
      </c>
      <c r="B643" s="3">
        <v>2</v>
      </c>
    </row>
    <row r="644" spans="1:2" x14ac:dyDescent="0.3">
      <c r="A644" s="5" t="s">
        <v>651</v>
      </c>
      <c r="B644" s="3">
        <v>2</v>
      </c>
    </row>
    <row r="645" spans="1:2" x14ac:dyDescent="0.3">
      <c r="A645" s="5" t="s">
        <v>652</v>
      </c>
      <c r="B645" s="3">
        <v>2</v>
      </c>
    </row>
    <row r="646" spans="1:2" x14ac:dyDescent="0.3">
      <c r="A646" s="5" t="s">
        <v>653</v>
      </c>
      <c r="B646" s="3">
        <v>2</v>
      </c>
    </row>
    <row r="647" spans="1:2" x14ac:dyDescent="0.3">
      <c r="A647" s="5" t="s">
        <v>654</v>
      </c>
      <c r="B647" s="3">
        <v>2</v>
      </c>
    </row>
    <row r="648" spans="1:2" x14ac:dyDescent="0.3">
      <c r="A648" s="5" t="s">
        <v>655</v>
      </c>
      <c r="B648" s="3">
        <v>2</v>
      </c>
    </row>
    <row r="649" spans="1:2" x14ac:dyDescent="0.3">
      <c r="A649" s="5" t="s">
        <v>656</v>
      </c>
      <c r="B649" s="3">
        <v>2</v>
      </c>
    </row>
    <row r="650" spans="1:2" x14ac:dyDescent="0.3">
      <c r="A650" s="5" t="s">
        <v>657</v>
      </c>
      <c r="B650" s="3">
        <v>2</v>
      </c>
    </row>
    <row r="651" spans="1:2" x14ac:dyDescent="0.3">
      <c r="A651" s="5" t="s">
        <v>658</v>
      </c>
      <c r="B651" s="3">
        <v>2</v>
      </c>
    </row>
    <row r="652" spans="1:2" x14ac:dyDescent="0.3">
      <c r="A652" s="5" t="s">
        <v>659</v>
      </c>
      <c r="B652" s="3">
        <v>2</v>
      </c>
    </row>
    <row r="653" spans="1:2" x14ac:dyDescent="0.3">
      <c r="A653" s="5" t="s">
        <v>660</v>
      </c>
      <c r="B653" s="3">
        <v>2</v>
      </c>
    </row>
    <row r="654" spans="1:2" x14ac:dyDescent="0.3">
      <c r="A654" s="5" t="s">
        <v>661</v>
      </c>
      <c r="B654" s="3">
        <v>2</v>
      </c>
    </row>
    <row r="655" spans="1:2" x14ac:dyDescent="0.3">
      <c r="A655" s="5" t="s">
        <v>662</v>
      </c>
      <c r="B655" s="3">
        <v>2</v>
      </c>
    </row>
    <row r="656" spans="1:2" x14ac:dyDescent="0.3">
      <c r="A656" s="5" t="s">
        <v>663</v>
      </c>
      <c r="B656" s="3">
        <v>2</v>
      </c>
    </row>
    <row r="657" spans="1:2" x14ac:dyDescent="0.3">
      <c r="A657" s="5" t="s">
        <v>664</v>
      </c>
      <c r="B657" s="3">
        <v>2</v>
      </c>
    </row>
    <row r="658" spans="1:2" x14ac:dyDescent="0.3">
      <c r="A658" s="5" t="s">
        <v>665</v>
      </c>
      <c r="B658" s="3">
        <v>2</v>
      </c>
    </row>
    <row r="659" spans="1:2" x14ac:dyDescent="0.3">
      <c r="A659" s="5" t="s">
        <v>666</v>
      </c>
      <c r="B659" s="3">
        <v>2</v>
      </c>
    </row>
    <row r="660" spans="1:2" x14ac:dyDescent="0.3">
      <c r="A660" s="5" t="s">
        <v>667</v>
      </c>
      <c r="B660" s="3">
        <v>2</v>
      </c>
    </row>
    <row r="661" spans="1:2" x14ac:dyDescent="0.3">
      <c r="A661" s="5" t="s">
        <v>668</v>
      </c>
      <c r="B661" s="3">
        <v>2</v>
      </c>
    </row>
    <row r="662" spans="1:2" x14ac:dyDescent="0.3">
      <c r="A662" s="5" t="s">
        <v>669</v>
      </c>
      <c r="B662" s="3">
        <v>2</v>
      </c>
    </row>
    <row r="663" spans="1:2" x14ac:dyDescent="0.3">
      <c r="A663" s="5" t="s">
        <v>670</v>
      </c>
      <c r="B663" s="3">
        <v>2</v>
      </c>
    </row>
    <row r="664" spans="1:2" x14ac:dyDescent="0.3">
      <c r="A664" s="5" t="s">
        <v>671</v>
      </c>
      <c r="B664" s="3">
        <v>2</v>
      </c>
    </row>
    <row r="665" spans="1:2" x14ac:dyDescent="0.3">
      <c r="A665" s="5" t="s">
        <v>672</v>
      </c>
      <c r="B665" s="3">
        <v>2</v>
      </c>
    </row>
    <row r="666" spans="1:2" x14ac:dyDescent="0.3">
      <c r="A666" s="5" t="s">
        <v>673</v>
      </c>
      <c r="B666" s="3">
        <v>2</v>
      </c>
    </row>
    <row r="667" spans="1:2" x14ac:dyDescent="0.3">
      <c r="A667" s="5" t="s">
        <v>674</v>
      </c>
      <c r="B667" s="3">
        <v>2</v>
      </c>
    </row>
    <row r="668" spans="1:2" x14ac:dyDescent="0.3">
      <c r="A668" s="5" t="s">
        <v>675</v>
      </c>
      <c r="B668" s="3">
        <v>2</v>
      </c>
    </row>
    <row r="669" spans="1:2" x14ac:dyDescent="0.3">
      <c r="A669" s="5" t="s">
        <v>676</v>
      </c>
      <c r="B669" s="3">
        <v>2</v>
      </c>
    </row>
    <row r="670" spans="1:2" x14ac:dyDescent="0.3">
      <c r="A670" s="5" t="s">
        <v>677</v>
      </c>
      <c r="B670" s="3">
        <v>2</v>
      </c>
    </row>
    <row r="671" spans="1:2" x14ac:dyDescent="0.3">
      <c r="A671" s="5" t="s">
        <v>678</v>
      </c>
      <c r="B671" s="3">
        <v>2</v>
      </c>
    </row>
    <row r="672" spans="1:2" x14ac:dyDescent="0.3">
      <c r="A672" s="5" t="s">
        <v>679</v>
      </c>
      <c r="B672" s="3">
        <v>2</v>
      </c>
    </row>
    <row r="673" spans="1:2" x14ac:dyDescent="0.3">
      <c r="A673" s="5" t="s">
        <v>680</v>
      </c>
      <c r="B673" s="3">
        <v>2</v>
      </c>
    </row>
    <row r="674" spans="1:2" x14ac:dyDescent="0.3">
      <c r="A674" s="5" t="s">
        <v>681</v>
      </c>
      <c r="B674" s="3">
        <v>2</v>
      </c>
    </row>
    <row r="675" spans="1:2" x14ac:dyDescent="0.3">
      <c r="A675" s="5" t="s">
        <v>682</v>
      </c>
      <c r="B675" s="3">
        <v>2</v>
      </c>
    </row>
    <row r="676" spans="1:2" x14ac:dyDescent="0.3">
      <c r="A676" s="5" t="s">
        <v>683</v>
      </c>
      <c r="B676" s="3">
        <v>2</v>
      </c>
    </row>
    <row r="677" spans="1:2" x14ac:dyDescent="0.3">
      <c r="A677" s="5" t="s">
        <v>684</v>
      </c>
      <c r="B677" s="3">
        <v>2</v>
      </c>
    </row>
    <row r="678" spans="1:2" x14ac:dyDescent="0.3">
      <c r="A678" s="5" t="s">
        <v>685</v>
      </c>
      <c r="B678" s="3">
        <v>2</v>
      </c>
    </row>
    <row r="679" spans="1:2" x14ac:dyDescent="0.3">
      <c r="A679" s="5" t="s">
        <v>686</v>
      </c>
      <c r="B679" s="3">
        <v>2</v>
      </c>
    </row>
    <row r="680" spans="1:2" x14ac:dyDescent="0.3">
      <c r="A680" s="5" t="s">
        <v>687</v>
      </c>
      <c r="B680" s="3">
        <v>2</v>
      </c>
    </row>
    <row r="681" spans="1:2" x14ac:dyDescent="0.3">
      <c r="A681" s="5" t="s">
        <v>688</v>
      </c>
      <c r="B681" s="3">
        <v>2</v>
      </c>
    </row>
    <row r="682" spans="1:2" x14ac:dyDescent="0.3">
      <c r="A682" s="5" t="s">
        <v>689</v>
      </c>
      <c r="B682" s="3">
        <v>2</v>
      </c>
    </row>
    <row r="683" spans="1:2" x14ac:dyDescent="0.3">
      <c r="A683" s="5" t="s">
        <v>690</v>
      </c>
      <c r="B683" s="3">
        <v>2</v>
      </c>
    </row>
    <row r="684" spans="1:2" x14ac:dyDescent="0.3">
      <c r="A684" s="5" t="s">
        <v>691</v>
      </c>
      <c r="B684" s="3">
        <v>2</v>
      </c>
    </row>
    <row r="685" spans="1:2" x14ac:dyDescent="0.3">
      <c r="A685" s="5" t="s">
        <v>692</v>
      </c>
      <c r="B685" s="3">
        <v>2</v>
      </c>
    </row>
    <row r="686" spans="1:2" x14ac:dyDescent="0.3">
      <c r="A686" s="5" t="s">
        <v>693</v>
      </c>
      <c r="B686" s="3">
        <v>2</v>
      </c>
    </row>
    <row r="687" spans="1:2" x14ac:dyDescent="0.3">
      <c r="A687" s="5" t="s">
        <v>694</v>
      </c>
      <c r="B687" s="3">
        <v>2</v>
      </c>
    </row>
    <row r="688" spans="1:2" x14ac:dyDescent="0.3">
      <c r="A688" s="5" t="s">
        <v>695</v>
      </c>
      <c r="B688" s="3">
        <v>2</v>
      </c>
    </row>
    <row r="689" spans="1:2" x14ac:dyDescent="0.3">
      <c r="A689" s="5" t="s">
        <v>696</v>
      </c>
      <c r="B689" s="3">
        <v>2</v>
      </c>
    </row>
    <row r="690" spans="1:2" x14ac:dyDescent="0.3">
      <c r="A690" s="5" t="s">
        <v>697</v>
      </c>
      <c r="B690" s="3">
        <v>2</v>
      </c>
    </row>
    <row r="691" spans="1:2" x14ac:dyDescent="0.3">
      <c r="A691" s="5" t="s">
        <v>698</v>
      </c>
      <c r="B691" s="3">
        <v>2</v>
      </c>
    </row>
    <row r="692" spans="1:2" x14ac:dyDescent="0.3">
      <c r="A692" s="5" t="s">
        <v>699</v>
      </c>
      <c r="B692" s="3">
        <v>2</v>
      </c>
    </row>
    <row r="693" spans="1:2" x14ac:dyDescent="0.3">
      <c r="A693" s="5" t="s">
        <v>700</v>
      </c>
      <c r="B693" s="3">
        <v>2</v>
      </c>
    </row>
    <row r="694" spans="1:2" x14ac:dyDescent="0.3">
      <c r="A694" s="5" t="s">
        <v>701</v>
      </c>
      <c r="B694" s="3">
        <v>2</v>
      </c>
    </row>
    <row r="695" spans="1:2" x14ac:dyDescent="0.3">
      <c r="A695" s="5" t="s">
        <v>702</v>
      </c>
      <c r="B695" s="3">
        <v>2</v>
      </c>
    </row>
    <row r="696" spans="1:2" x14ac:dyDescent="0.3">
      <c r="A696" s="5" t="s">
        <v>703</v>
      </c>
      <c r="B696" s="3">
        <v>2</v>
      </c>
    </row>
    <row r="697" spans="1:2" x14ac:dyDescent="0.3">
      <c r="A697" s="5" t="s">
        <v>704</v>
      </c>
      <c r="B697" s="3">
        <v>2</v>
      </c>
    </row>
    <row r="698" spans="1:2" x14ac:dyDescent="0.3">
      <c r="A698" s="5" t="s">
        <v>705</v>
      </c>
      <c r="B698" s="3">
        <v>2</v>
      </c>
    </row>
    <row r="699" spans="1:2" x14ac:dyDescent="0.3">
      <c r="A699" s="5" t="s">
        <v>706</v>
      </c>
      <c r="B699" s="3">
        <v>2</v>
      </c>
    </row>
    <row r="700" spans="1:2" x14ac:dyDescent="0.3">
      <c r="A700" s="5" t="s">
        <v>707</v>
      </c>
      <c r="B700" s="3">
        <v>2</v>
      </c>
    </row>
    <row r="701" spans="1:2" x14ac:dyDescent="0.3">
      <c r="A701" s="5" t="s">
        <v>708</v>
      </c>
      <c r="B701" s="3">
        <v>2</v>
      </c>
    </row>
    <row r="702" spans="1:2" x14ac:dyDescent="0.3">
      <c r="A702" s="5" t="s">
        <v>709</v>
      </c>
      <c r="B702" s="3">
        <v>2</v>
      </c>
    </row>
    <row r="703" spans="1:2" x14ac:dyDescent="0.3">
      <c r="A703" s="5" t="s">
        <v>710</v>
      </c>
      <c r="B703" s="3">
        <v>2</v>
      </c>
    </row>
    <row r="704" spans="1:2" x14ac:dyDescent="0.3">
      <c r="A704" s="5" t="s">
        <v>711</v>
      </c>
      <c r="B704" s="3">
        <v>2</v>
      </c>
    </row>
    <row r="705" spans="1:2" x14ac:dyDescent="0.3">
      <c r="A705" s="5" t="s">
        <v>712</v>
      </c>
      <c r="B705" s="3">
        <v>2</v>
      </c>
    </row>
    <row r="706" spans="1:2" x14ac:dyDescent="0.3">
      <c r="A706" s="5" t="s">
        <v>713</v>
      </c>
      <c r="B706" s="3">
        <v>2</v>
      </c>
    </row>
    <row r="707" spans="1:2" x14ac:dyDescent="0.3">
      <c r="A707" s="5" t="s">
        <v>714</v>
      </c>
      <c r="B707" s="3">
        <v>2</v>
      </c>
    </row>
    <row r="708" spans="1:2" x14ac:dyDescent="0.3">
      <c r="A708" s="5" t="s">
        <v>715</v>
      </c>
      <c r="B708" s="3">
        <v>2</v>
      </c>
    </row>
    <row r="709" spans="1:2" x14ac:dyDescent="0.3">
      <c r="A709" s="5" t="s">
        <v>716</v>
      </c>
      <c r="B709" s="3">
        <v>2</v>
      </c>
    </row>
    <row r="710" spans="1:2" x14ac:dyDescent="0.3">
      <c r="A710" s="5" t="s">
        <v>717</v>
      </c>
      <c r="B710" s="3">
        <v>2</v>
      </c>
    </row>
    <row r="711" spans="1:2" x14ac:dyDescent="0.3">
      <c r="A711" s="5" t="s">
        <v>718</v>
      </c>
      <c r="B711" s="3">
        <v>2</v>
      </c>
    </row>
    <row r="712" spans="1:2" x14ac:dyDescent="0.3">
      <c r="A712" s="5" t="s">
        <v>719</v>
      </c>
      <c r="B712" s="3">
        <v>2</v>
      </c>
    </row>
    <row r="713" spans="1:2" x14ac:dyDescent="0.3">
      <c r="A713" s="5" t="s">
        <v>720</v>
      </c>
      <c r="B713" s="3">
        <v>2</v>
      </c>
    </row>
    <row r="714" spans="1:2" x14ac:dyDescent="0.3">
      <c r="A714" s="5" t="s">
        <v>721</v>
      </c>
      <c r="B714" s="3">
        <v>2</v>
      </c>
    </row>
    <row r="715" spans="1:2" x14ac:dyDescent="0.3">
      <c r="A715" s="5" t="s">
        <v>722</v>
      </c>
      <c r="B715" s="3">
        <v>2</v>
      </c>
    </row>
    <row r="716" spans="1:2" x14ac:dyDescent="0.3">
      <c r="A716" s="5" t="s">
        <v>723</v>
      </c>
      <c r="B716" s="3">
        <v>2</v>
      </c>
    </row>
    <row r="717" spans="1:2" x14ac:dyDescent="0.3">
      <c r="A717" s="5" t="s">
        <v>724</v>
      </c>
      <c r="B717" s="3">
        <v>2</v>
      </c>
    </row>
    <row r="718" spans="1:2" x14ac:dyDescent="0.3">
      <c r="A718" s="5" t="s">
        <v>725</v>
      </c>
      <c r="B718" s="3">
        <v>2</v>
      </c>
    </row>
    <row r="719" spans="1:2" x14ac:dyDescent="0.3">
      <c r="A719" s="5" t="s">
        <v>726</v>
      </c>
      <c r="B719" s="3">
        <v>2</v>
      </c>
    </row>
    <row r="720" spans="1:2" x14ac:dyDescent="0.3">
      <c r="A720" s="5" t="s">
        <v>727</v>
      </c>
      <c r="B720" s="3">
        <v>2</v>
      </c>
    </row>
    <row r="721" spans="1:2" x14ac:dyDescent="0.3">
      <c r="A721" s="5" t="s">
        <v>728</v>
      </c>
      <c r="B721" s="3">
        <v>2</v>
      </c>
    </row>
    <row r="722" spans="1:2" x14ac:dyDescent="0.3">
      <c r="A722" s="5" t="s">
        <v>729</v>
      </c>
      <c r="B722" s="3">
        <v>2</v>
      </c>
    </row>
    <row r="723" spans="1:2" x14ac:dyDescent="0.3">
      <c r="A723" s="5" t="s">
        <v>730</v>
      </c>
      <c r="B723" s="3">
        <v>2</v>
      </c>
    </row>
    <row r="724" spans="1:2" x14ac:dyDescent="0.3">
      <c r="A724" s="5" t="s">
        <v>731</v>
      </c>
      <c r="B724" s="3">
        <v>2</v>
      </c>
    </row>
    <row r="725" spans="1:2" x14ac:dyDescent="0.3">
      <c r="A725" s="5" t="s">
        <v>732</v>
      </c>
      <c r="B725" s="3">
        <v>2</v>
      </c>
    </row>
    <row r="726" spans="1:2" x14ac:dyDescent="0.3">
      <c r="A726" s="5" t="s">
        <v>733</v>
      </c>
      <c r="B726" s="3">
        <v>2</v>
      </c>
    </row>
    <row r="727" spans="1:2" x14ac:dyDescent="0.3">
      <c r="A727" s="5" t="s">
        <v>734</v>
      </c>
      <c r="B727" s="3">
        <v>2</v>
      </c>
    </row>
    <row r="728" spans="1:2" x14ac:dyDescent="0.3">
      <c r="A728" s="5" t="s">
        <v>735</v>
      </c>
      <c r="B728" s="3">
        <v>2</v>
      </c>
    </row>
    <row r="729" spans="1:2" x14ac:dyDescent="0.3">
      <c r="A729" s="5" t="s">
        <v>736</v>
      </c>
      <c r="B729" s="3">
        <v>2</v>
      </c>
    </row>
    <row r="730" spans="1:2" x14ac:dyDescent="0.3">
      <c r="A730" s="5" t="s">
        <v>737</v>
      </c>
      <c r="B730" s="3">
        <v>2</v>
      </c>
    </row>
    <row r="731" spans="1:2" x14ac:dyDescent="0.3">
      <c r="A731" s="5" t="s">
        <v>738</v>
      </c>
      <c r="B731" s="3">
        <v>2</v>
      </c>
    </row>
    <row r="732" spans="1:2" x14ac:dyDescent="0.3">
      <c r="A732" s="5" t="s">
        <v>739</v>
      </c>
      <c r="B732" s="3">
        <v>2</v>
      </c>
    </row>
    <row r="733" spans="1:2" x14ac:dyDescent="0.3">
      <c r="A733" s="5" t="s">
        <v>740</v>
      </c>
      <c r="B733" s="3">
        <v>2</v>
      </c>
    </row>
    <row r="734" spans="1:2" x14ac:dyDescent="0.3">
      <c r="A734" s="5" t="s">
        <v>741</v>
      </c>
      <c r="B734" s="3">
        <v>2</v>
      </c>
    </row>
    <row r="735" spans="1:2" x14ac:dyDescent="0.3">
      <c r="A735" s="5" t="s">
        <v>742</v>
      </c>
      <c r="B735" s="3">
        <v>2</v>
      </c>
    </row>
    <row r="736" spans="1:2" x14ac:dyDescent="0.3">
      <c r="A736" s="5" t="s">
        <v>743</v>
      </c>
      <c r="B736" s="3">
        <v>2</v>
      </c>
    </row>
    <row r="737" spans="1:2" x14ac:dyDescent="0.3">
      <c r="A737" s="5" t="s">
        <v>744</v>
      </c>
      <c r="B737" s="3">
        <v>2</v>
      </c>
    </row>
    <row r="738" spans="1:2" x14ac:dyDescent="0.3">
      <c r="A738" s="5" t="s">
        <v>745</v>
      </c>
      <c r="B738" s="3">
        <v>2</v>
      </c>
    </row>
    <row r="739" spans="1:2" x14ac:dyDescent="0.3">
      <c r="A739" s="5" t="s">
        <v>746</v>
      </c>
      <c r="B739" s="3">
        <v>2</v>
      </c>
    </row>
    <row r="740" spans="1:2" x14ac:dyDescent="0.3">
      <c r="A740" s="5" t="s">
        <v>747</v>
      </c>
      <c r="B740" s="3">
        <v>2</v>
      </c>
    </row>
    <row r="741" spans="1:2" x14ac:dyDescent="0.3">
      <c r="A741" s="5" t="s">
        <v>748</v>
      </c>
      <c r="B741" s="3">
        <v>2</v>
      </c>
    </row>
    <row r="742" spans="1:2" x14ac:dyDescent="0.3">
      <c r="A742" s="5" t="s">
        <v>749</v>
      </c>
      <c r="B742" s="3">
        <v>2</v>
      </c>
    </row>
    <row r="743" spans="1:2" x14ac:dyDescent="0.3">
      <c r="A743" s="5" t="s">
        <v>750</v>
      </c>
      <c r="B743" s="3">
        <v>2</v>
      </c>
    </row>
    <row r="744" spans="1:2" x14ac:dyDescent="0.3">
      <c r="A744" s="5" t="s">
        <v>751</v>
      </c>
      <c r="B744" s="3">
        <v>2</v>
      </c>
    </row>
    <row r="745" spans="1:2" x14ac:dyDescent="0.3">
      <c r="A745" s="5" t="s">
        <v>752</v>
      </c>
      <c r="B745" s="3">
        <v>2</v>
      </c>
    </row>
    <row r="746" spans="1:2" x14ac:dyDescent="0.3">
      <c r="A746" s="5" t="s">
        <v>753</v>
      </c>
      <c r="B746" s="3">
        <v>2</v>
      </c>
    </row>
    <row r="747" spans="1:2" x14ac:dyDescent="0.3">
      <c r="A747" s="5" t="s">
        <v>754</v>
      </c>
      <c r="B747" s="3">
        <v>2</v>
      </c>
    </row>
    <row r="748" spans="1:2" x14ac:dyDescent="0.3">
      <c r="A748" s="5" t="s">
        <v>755</v>
      </c>
      <c r="B748" s="3">
        <v>2</v>
      </c>
    </row>
    <row r="749" spans="1:2" x14ac:dyDescent="0.3">
      <c r="A749" s="5" t="s">
        <v>756</v>
      </c>
      <c r="B749" s="3">
        <v>2</v>
      </c>
    </row>
    <row r="750" spans="1:2" x14ac:dyDescent="0.3">
      <c r="A750" s="5" t="s">
        <v>757</v>
      </c>
      <c r="B750" s="3">
        <v>2</v>
      </c>
    </row>
    <row r="751" spans="1:2" x14ac:dyDescent="0.3">
      <c r="A751" s="5" t="s">
        <v>758</v>
      </c>
      <c r="B751" s="3">
        <v>2</v>
      </c>
    </row>
    <row r="752" spans="1:2" x14ac:dyDescent="0.3">
      <c r="A752" s="5" t="s">
        <v>759</v>
      </c>
      <c r="B752" s="3">
        <v>2</v>
      </c>
    </row>
    <row r="753" spans="1:2" x14ac:dyDescent="0.3">
      <c r="A753" s="5" t="s">
        <v>760</v>
      </c>
      <c r="B753" s="3">
        <v>2</v>
      </c>
    </row>
    <row r="754" spans="1:2" x14ac:dyDescent="0.3">
      <c r="A754" s="5" t="s">
        <v>761</v>
      </c>
      <c r="B754" s="3">
        <v>2</v>
      </c>
    </row>
    <row r="755" spans="1:2" x14ac:dyDescent="0.3">
      <c r="A755" s="5" t="s">
        <v>762</v>
      </c>
      <c r="B755" s="3">
        <v>2</v>
      </c>
    </row>
    <row r="756" spans="1:2" x14ac:dyDescent="0.3">
      <c r="A756" s="5" t="s">
        <v>763</v>
      </c>
      <c r="B756" s="3">
        <v>1</v>
      </c>
    </row>
    <row r="757" spans="1:2" x14ac:dyDescent="0.3">
      <c r="A757" s="5" t="s">
        <v>764</v>
      </c>
      <c r="B757" s="3">
        <v>1</v>
      </c>
    </row>
    <row r="758" spans="1:2" x14ac:dyDescent="0.3">
      <c r="A758" s="5" t="s">
        <v>765</v>
      </c>
      <c r="B758" s="3">
        <v>1</v>
      </c>
    </row>
    <row r="759" spans="1:2" x14ac:dyDescent="0.3">
      <c r="A759" s="5" t="s">
        <v>766</v>
      </c>
      <c r="B759" s="3">
        <v>1</v>
      </c>
    </row>
    <row r="760" spans="1:2" x14ac:dyDescent="0.3">
      <c r="A760" s="5" t="s">
        <v>767</v>
      </c>
      <c r="B760" s="3">
        <v>1</v>
      </c>
    </row>
    <row r="761" spans="1:2" x14ac:dyDescent="0.3">
      <c r="A761" s="5" t="s">
        <v>768</v>
      </c>
      <c r="B761" s="3">
        <v>1</v>
      </c>
    </row>
    <row r="762" spans="1:2" x14ac:dyDescent="0.3">
      <c r="A762" s="5" t="s">
        <v>769</v>
      </c>
      <c r="B762" s="3">
        <v>1</v>
      </c>
    </row>
    <row r="763" spans="1:2" x14ac:dyDescent="0.3">
      <c r="A763" s="5" t="s">
        <v>770</v>
      </c>
      <c r="B763" s="3">
        <v>1</v>
      </c>
    </row>
    <row r="764" spans="1:2" x14ac:dyDescent="0.3">
      <c r="A764" s="5" t="s">
        <v>771</v>
      </c>
      <c r="B764" s="3">
        <v>1</v>
      </c>
    </row>
    <row r="765" spans="1:2" x14ac:dyDescent="0.3">
      <c r="A765" s="5" t="s">
        <v>772</v>
      </c>
      <c r="B765" s="3">
        <v>1</v>
      </c>
    </row>
    <row r="766" spans="1:2" x14ac:dyDescent="0.3">
      <c r="A766" s="5" t="s">
        <v>773</v>
      </c>
      <c r="B766" s="3">
        <v>1</v>
      </c>
    </row>
    <row r="767" spans="1:2" x14ac:dyDescent="0.3">
      <c r="A767" s="5" t="s">
        <v>774</v>
      </c>
      <c r="B767" s="3">
        <v>1</v>
      </c>
    </row>
    <row r="768" spans="1:2" x14ac:dyDescent="0.3">
      <c r="A768" s="5" t="s">
        <v>775</v>
      </c>
      <c r="B768" s="3">
        <v>1</v>
      </c>
    </row>
    <row r="769" spans="1:2" x14ac:dyDescent="0.3">
      <c r="A769" s="5" t="s">
        <v>776</v>
      </c>
      <c r="B769" s="3">
        <v>1</v>
      </c>
    </row>
    <row r="770" spans="1:2" x14ac:dyDescent="0.3">
      <c r="A770" s="5" t="s">
        <v>777</v>
      </c>
      <c r="B770" s="3">
        <v>1</v>
      </c>
    </row>
    <row r="771" spans="1:2" x14ac:dyDescent="0.3">
      <c r="A771" s="5" t="s">
        <v>778</v>
      </c>
      <c r="B771" s="3">
        <v>1</v>
      </c>
    </row>
    <row r="772" spans="1:2" x14ac:dyDescent="0.3">
      <c r="A772" s="5" t="s">
        <v>779</v>
      </c>
      <c r="B772" s="3">
        <v>1</v>
      </c>
    </row>
    <row r="773" spans="1:2" x14ac:dyDescent="0.3">
      <c r="A773" s="5" t="s">
        <v>780</v>
      </c>
      <c r="B773" s="3">
        <v>1</v>
      </c>
    </row>
    <row r="774" spans="1:2" x14ac:dyDescent="0.3">
      <c r="A774" s="5" t="s">
        <v>781</v>
      </c>
      <c r="B774" s="3">
        <v>1</v>
      </c>
    </row>
    <row r="775" spans="1:2" x14ac:dyDescent="0.3">
      <c r="A775" s="5" t="s">
        <v>782</v>
      </c>
      <c r="B775" s="3">
        <v>1</v>
      </c>
    </row>
    <row r="776" spans="1:2" x14ac:dyDescent="0.3">
      <c r="A776" s="5" t="s">
        <v>783</v>
      </c>
      <c r="B776" s="3">
        <v>1</v>
      </c>
    </row>
    <row r="777" spans="1:2" x14ac:dyDescent="0.3">
      <c r="A777" s="5" t="s">
        <v>784</v>
      </c>
      <c r="B777" s="3">
        <v>1</v>
      </c>
    </row>
    <row r="778" spans="1:2" x14ac:dyDescent="0.3">
      <c r="A778" s="5" t="s">
        <v>785</v>
      </c>
      <c r="B778" s="3">
        <v>1</v>
      </c>
    </row>
    <row r="779" spans="1:2" x14ac:dyDescent="0.3">
      <c r="A779" s="5" t="s">
        <v>786</v>
      </c>
      <c r="B779" s="3">
        <v>1</v>
      </c>
    </row>
    <row r="780" spans="1:2" x14ac:dyDescent="0.3">
      <c r="A780" s="5" t="s">
        <v>787</v>
      </c>
      <c r="B780" s="3">
        <v>1</v>
      </c>
    </row>
    <row r="781" spans="1:2" x14ac:dyDescent="0.3">
      <c r="A781" s="5" t="s">
        <v>788</v>
      </c>
      <c r="B781" s="3">
        <v>1</v>
      </c>
    </row>
    <row r="782" spans="1:2" x14ac:dyDescent="0.3">
      <c r="A782" s="5" t="s">
        <v>789</v>
      </c>
      <c r="B782" s="3">
        <v>1</v>
      </c>
    </row>
    <row r="783" spans="1:2" x14ac:dyDescent="0.3">
      <c r="A783" s="5" t="s">
        <v>790</v>
      </c>
      <c r="B783" s="3">
        <v>1</v>
      </c>
    </row>
    <row r="784" spans="1:2" x14ac:dyDescent="0.3">
      <c r="A784" s="5" t="s">
        <v>791</v>
      </c>
      <c r="B784" s="3">
        <v>1</v>
      </c>
    </row>
    <row r="785" spans="1:2" x14ac:dyDescent="0.3">
      <c r="A785" s="5" t="s">
        <v>792</v>
      </c>
      <c r="B785" s="3">
        <v>1</v>
      </c>
    </row>
    <row r="786" spans="1:2" x14ac:dyDescent="0.3">
      <c r="A786" s="5" t="s">
        <v>793</v>
      </c>
      <c r="B786" s="3">
        <v>1</v>
      </c>
    </row>
    <row r="787" spans="1:2" x14ac:dyDescent="0.3">
      <c r="A787" s="5" t="s">
        <v>794</v>
      </c>
      <c r="B787" s="3">
        <v>1</v>
      </c>
    </row>
    <row r="788" spans="1:2" x14ac:dyDescent="0.3">
      <c r="A788" s="5" t="s">
        <v>795</v>
      </c>
      <c r="B788" s="3">
        <v>1</v>
      </c>
    </row>
    <row r="789" spans="1:2" x14ac:dyDescent="0.3">
      <c r="A789" s="5" t="s">
        <v>796</v>
      </c>
      <c r="B789" s="3">
        <v>1</v>
      </c>
    </row>
    <row r="790" spans="1:2" x14ac:dyDescent="0.3">
      <c r="A790" s="5" t="s">
        <v>797</v>
      </c>
      <c r="B790" s="3">
        <v>1</v>
      </c>
    </row>
    <row r="791" spans="1:2" x14ac:dyDescent="0.3">
      <c r="A791" s="5" t="s">
        <v>798</v>
      </c>
      <c r="B791" s="3">
        <v>1</v>
      </c>
    </row>
    <row r="792" spans="1:2" x14ac:dyDescent="0.3">
      <c r="A792" s="5" t="s">
        <v>799</v>
      </c>
      <c r="B792" s="3">
        <v>1</v>
      </c>
    </row>
    <row r="793" spans="1:2" x14ac:dyDescent="0.3">
      <c r="A793" s="5" t="s">
        <v>800</v>
      </c>
      <c r="B793" s="3">
        <v>1</v>
      </c>
    </row>
    <row r="794" spans="1:2" x14ac:dyDescent="0.3">
      <c r="A794" s="5" t="s">
        <v>801</v>
      </c>
      <c r="B794" s="3">
        <v>1</v>
      </c>
    </row>
    <row r="795" spans="1:2" x14ac:dyDescent="0.3">
      <c r="A795" s="5" t="s">
        <v>802</v>
      </c>
      <c r="B795" s="3">
        <v>1</v>
      </c>
    </row>
    <row r="796" spans="1:2" x14ac:dyDescent="0.3">
      <c r="A796" s="5" t="s">
        <v>803</v>
      </c>
      <c r="B796" s="3">
        <v>1</v>
      </c>
    </row>
    <row r="797" spans="1:2" x14ac:dyDescent="0.3">
      <c r="A797" s="5" t="s">
        <v>804</v>
      </c>
      <c r="B797" s="3">
        <v>1</v>
      </c>
    </row>
    <row r="798" spans="1:2" x14ac:dyDescent="0.3">
      <c r="A798" s="5" t="s">
        <v>805</v>
      </c>
      <c r="B798" s="3">
        <v>1</v>
      </c>
    </row>
    <row r="799" spans="1:2" x14ac:dyDescent="0.3">
      <c r="A799" s="5" t="s">
        <v>806</v>
      </c>
      <c r="B799" s="3">
        <v>1</v>
      </c>
    </row>
    <row r="800" spans="1:2" x14ac:dyDescent="0.3">
      <c r="A800" s="5" t="s">
        <v>807</v>
      </c>
      <c r="B800" s="3">
        <v>1</v>
      </c>
    </row>
    <row r="801" spans="1:2" x14ac:dyDescent="0.3">
      <c r="A801" s="5" t="s">
        <v>808</v>
      </c>
      <c r="B801" s="3">
        <v>1</v>
      </c>
    </row>
    <row r="802" spans="1:2" x14ac:dyDescent="0.3">
      <c r="A802" s="5" t="s">
        <v>809</v>
      </c>
      <c r="B802" s="3">
        <v>1</v>
      </c>
    </row>
    <row r="803" spans="1:2" x14ac:dyDescent="0.3">
      <c r="A803" s="5" t="s">
        <v>810</v>
      </c>
      <c r="B803" s="3">
        <v>1</v>
      </c>
    </row>
    <row r="804" spans="1:2" x14ac:dyDescent="0.3">
      <c r="A804" s="5" t="s">
        <v>811</v>
      </c>
      <c r="B804" s="3">
        <v>1</v>
      </c>
    </row>
    <row r="805" spans="1:2" x14ac:dyDescent="0.3">
      <c r="A805" s="5" t="s">
        <v>812</v>
      </c>
      <c r="B805" s="3">
        <v>1</v>
      </c>
    </row>
    <row r="806" spans="1:2" x14ac:dyDescent="0.3">
      <c r="A806" s="5" t="s">
        <v>813</v>
      </c>
      <c r="B806" s="3">
        <v>1</v>
      </c>
    </row>
    <row r="807" spans="1:2" x14ac:dyDescent="0.3">
      <c r="A807" s="5" t="s">
        <v>814</v>
      </c>
      <c r="B807" s="3">
        <v>1</v>
      </c>
    </row>
    <row r="808" spans="1:2" x14ac:dyDescent="0.3">
      <c r="A808" s="5" t="s">
        <v>815</v>
      </c>
      <c r="B808" s="3">
        <v>1</v>
      </c>
    </row>
    <row r="809" spans="1:2" x14ac:dyDescent="0.3">
      <c r="A809" s="5" t="s">
        <v>816</v>
      </c>
      <c r="B809" s="3">
        <v>1</v>
      </c>
    </row>
    <row r="810" spans="1:2" x14ac:dyDescent="0.3">
      <c r="A810" s="5" t="s">
        <v>817</v>
      </c>
      <c r="B810" s="3">
        <v>1</v>
      </c>
    </row>
    <row r="811" spans="1:2" x14ac:dyDescent="0.3">
      <c r="A811" s="5" t="s">
        <v>818</v>
      </c>
      <c r="B811" s="3">
        <v>1</v>
      </c>
    </row>
    <row r="812" spans="1:2" x14ac:dyDescent="0.3">
      <c r="A812" s="5" t="s">
        <v>819</v>
      </c>
      <c r="B812" s="3">
        <v>1</v>
      </c>
    </row>
    <row r="813" spans="1:2" x14ac:dyDescent="0.3">
      <c r="A813" s="5" t="s">
        <v>820</v>
      </c>
      <c r="B813" s="3">
        <v>1</v>
      </c>
    </row>
    <row r="814" spans="1:2" x14ac:dyDescent="0.3">
      <c r="A814" s="5" t="s">
        <v>821</v>
      </c>
      <c r="B814" s="3">
        <v>1</v>
      </c>
    </row>
    <row r="815" spans="1:2" x14ac:dyDescent="0.3">
      <c r="A815" s="5" t="s">
        <v>822</v>
      </c>
      <c r="B815" s="3">
        <v>1</v>
      </c>
    </row>
    <row r="816" spans="1:2" x14ac:dyDescent="0.3">
      <c r="A816" s="5" t="s">
        <v>823</v>
      </c>
      <c r="B816" s="3">
        <v>1</v>
      </c>
    </row>
    <row r="817" spans="1:2" x14ac:dyDescent="0.3">
      <c r="A817" s="5" t="s">
        <v>824</v>
      </c>
      <c r="B817" s="3">
        <v>1</v>
      </c>
    </row>
    <row r="818" spans="1:2" x14ac:dyDescent="0.3">
      <c r="A818" s="5" t="s">
        <v>825</v>
      </c>
      <c r="B818" s="3">
        <v>1</v>
      </c>
    </row>
    <row r="819" spans="1:2" x14ac:dyDescent="0.3">
      <c r="A819" s="5" t="s">
        <v>826</v>
      </c>
      <c r="B819" s="3">
        <v>1</v>
      </c>
    </row>
    <row r="820" spans="1:2" x14ac:dyDescent="0.3">
      <c r="A820" s="5" t="s">
        <v>827</v>
      </c>
      <c r="B820" s="3">
        <v>1</v>
      </c>
    </row>
    <row r="821" spans="1:2" x14ac:dyDescent="0.3">
      <c r="A821" s="5" t="s">
        <v>828</v>
      </c>
      <c r="B821" s="3">
        <v>1</v>
      </c>
    </row>
    <row r="822" spans="1:2" x14ac:dyDescent="0.3">
      <c r="A822" s="5" t="s">
        <v>829</v>
      </c>
      <c r="B822" s="3">
        <v>1</v>
      </c>
    </row>
    <row r="823" spans="1:2" x14ac:dyDescent="0.3">
      <c r="A823" s="5" t="s">
        <v>830</v>
      </c>
      <c r="B823" s="3">
        <v>1</v>
      </c>
    </row>
    <row r="824" spans="1:2" x14ac:dyDescent="0.3">
      <c r="A824" s="5" t="s">
        <v>831</v>
      </c>
      <c r="B824" s="3">
        <v>1</v>
      </c>
    </row>
    <row r="825" spans="1:2" x14ac:dyDescent="0.3">
      <c r="A825" s="5" t="s">
        <v>832</v>
      </c>
      <c r="B825" s="3">
        <v>1</v>
      </c>
    </row>
    <row r="826" spans="1:2" x14ac:dyDescent="0.3">
      <c r="A826" s="5" t="s">
        <v>833</v>
      </c>
      <c r="B826" s="3">
        <v>1</v>
      </c>
    </row>
    <row r="827" spans="1:2" x14ac:dyDescent="0.3">
      <c r="A827" s="5" t="s">
        <v>834</v>
      </c>
      <c r="B827" s="3">
        <v>1</v>
      </c>
    </row>
    <row r="828" spans="1:2" x14ac:dyDescent="0.3">
      <c r="A828" s="5" t="s">
        <v>835</v>
      </c>
      <c r="B828" s="3">
        <v>1</v>
      </c>
    </row>
    <row r="829" spans="1:2" x14ac:dyDescent="0.3">
      <c r="A829" s="5" t="s">
        <v>836</v>
      </c>
      <c r="B829" s="3">
        <v>1</v>
      </c>
    </row>
    <row r="830" spans="1:2" x14ac:dyDescent="0.3">
      <c r="A830" s="5" t="s">
        <v>837</v>
      </c>
      <c r="B830" s="3">
        <v>1</v>
      </c>
    </row>
    <row r="831" spans="1:2" x14ac:dyDescent="0.3">
      <c r="A831" s="5" t="s">
        <v>838</v>
      </c>
      <c r="B831" s="3">
        <v>1</v>
      </c>
    </row>
    <row r="832" spans="1:2" x14ac:dyDescent="0.3">
      <c r="A832" s="5" t="s">
        <v>839</v>
      </c>
      <c r="B832" s="3">
        <v>1</v>
      </c>
    </row>
    <row r="833" spans="1:2" x14ac:dyDescent="0.3">
      <c r="A833" s="5" t="s">
        <v>840</v>
      </c>
      <c r="B833" s="3">
        <v>1</v>
      </c>
    </row>
    <row r="834" spans="1:2" x14ac:dyDescent="0.3">
      <c r="A834" s="5" t="s">
        <v>841</v>
      </c>
      <c r="B834" s="3">
        <v>1</v>
      </c>
    </row>
    <row r="835" spans="1:2" x14ac:dyDescent="0.3">
      <c r="A835" s="5" t="s">
        <v>842</v>
      </c>
      <c r="B835" s="3">
        <v>1</v>
      </c>
    </row>
    <row r="836" spans="1:2" x14ac:dyDescent="0.3">
      <c r="A836" s="5" t="s">
        <v>843</v>
      </c>
      <c r="B836" s="3">
        <v>1</v>
      </c>
    </row>
    <row r="837" spans="1:2" x14ac:dyDescent="0.3">
      <c r="A837" s="5" t="s">
        <v>844</v>
      </c>
      <c r="B837" s="3">
        <v>1</v>
      </c>
    </row>
    <row r="838" spans="1:2" x14ac:dyDescent="0.3">
      <c r="A838" s="5" t="s">
        <v>845</v>
      </c>
      <c r="B838" s="3">
        <v>1</v>
      </c>
    </row>
    <row r="839" spans="1:2" x14ac:dyDescent="0.3">
      <c r="A839" s="5" t="s">
        <v>846</v>
      </c>
      <c r="B839" s="3">
        <v>1</v>
      </c>
    </row>
    <row r="840" spans="1:2" x14ac:dyDescent="0.3">
      <c r="A840" s="5" t="s">
        <v>847</v>
      </c>
      <c r="B840" s="3">
        <v>1</v>
      </c>
    </row>
    <row r="841" spans="1:2" x14ac:dyDescent="0.3">
      <c r="A841" s="5" t="s">
        <v>848</v>
      </c>
      <c r="B841" s="3">
        <v>1</v>
      </c>
    </row>
    <row r="842" spans="1:2" x14ac:dyDescent="0.3">
      <c r="A842" s="5" t="s">
        <v>849</v>
      </c>
      <c r="B842" s="3">
        <v>1</v>
      </c>
    </row>
    <row r="843" spans="1:2" x14ac:dyDescent="0.3">
      <c r="A843" s="5" t="s">
        <v>850</v>
      </c>
      <c r="B843" s="3">
        <v>1</v>
      </c>
    </row>
    <row r="844" spans="1:2" x14ac:dyDescent="0.3">
      <c r="A844" s="5" t="s">
        <v>851</v>
      </c>
      <c r="B844" s="3">
        <v>1</v>
      </c>
    </row>
    <row r="845" spans="1:2" x14ac:dyDescent="0.3">
      <c r="A845" s="5" t="s">
        <v>852</v>
      </c>
      <c r="B845" s="3">
        <v>1</v>
      </c>
    </row>
    <row r="846" spans="1:2" x14ac:dyDescent="0.3">
      <c r="A846" s="5" t="s">
        <v>853</v>
      </c>
      <c r="B846" s="3">
        <v>1</v>
      </c>
    </row>
    <row r="847" spans="1:2" x14ac:dyDescent="0.3">
      <c r="A847" s="5" t="s">
        <v>854</v>
      </c>
      <c r="B847" s="3">
        <v>1</v>
      </c>
    </row>
    <row r="848" spans="1:2" x14ac:dyDescent="0.3">
      <c r="A848" s="5" t="s">
        <v>855</v>
      </c>
      <c r="B848" s="3">
        <v>1</v>
      </c>
    </row>
    <row r="849" spans="1:2" x14ac:dyDescent="0.3">
      <c r="A849" s="5" t="s">
        <v>856</v>
      </c>
      <c r="B849" s="3">
        <v>1</v>
      </c>
    </row>
    <row r="850" spans="1:2" x14ac:dyDescent="0.3">
      <c r="A850" s="5" t="s">
        <v>857</v>
      </c>
      <c r="B850" s="3">
        <v>1</v>
      </c>
    </row>
    <row r="851" spans="1:2" x14ac:dyDescent="0.3">
      <c r="A851" s="5" t="s">
        <v>858</v>
      </c>
      <c r="B851" s="3">
        <v>1</v>
      </c>
    </row>
    <row r="852" spans="1:2" x14ac:dyDescent="0.3">
      <c r="A852" s="5" t="s">
        <v>859</v>
      </c>
      <c r="B852" s="3">
        <v>1</v>
      </c>
    </row>
    <row r="853" spans="1:2" x14ac:dyDescent="0.3">
      <c r="A853" s="5" t="s">
        <v>860</v>
      </c>
      <c r="B853" s="3">
        <v>1</v>
      </c>
    </row>
    <row r="854" spans="1:2" x14ac:dyDescent="0.3">
      <c r="A854" s="5" t="s">
        <v>861</v>
      </c>
      <c r="B854" s="3">
        <v>1</v>
      </c>
    </row>
    <row r="855" spans="1:2" x14ac:dyDescent="0.3">
      <c r="A855" s="5" t="s">
        <v>862</v>
      </c>
      <c r="B855" s="3">
        <v>1</v>
      </c>
    </row>
    <row r="856" spans="1:2" x14ac:dyDescent="0.3">
      <c r="A856" s="5" t="s">
        <v>863</v>
      </c>
      <c r="B856" s="3">
        <v>1</v>
      </c>
    </row>
    <row r="857" spans="1:2" x14ac:dyDescent="0.3">
      <c r="A857" s="5" t="s">
        <v>864</v>
      </c>
      <c r="B857" s="3">
        <v>1</v>
      </c>
    </row>
    <row r="858" spans="1:2" x14ac:dyDescent="0.3">
      <c r="A858" s="5" t="s">
        <v>865</v>
      </c>
      <c r="B858" s="3">
        <v>1</v>
      </c>
    </row>
    <row r="859" spans="1:2" x14ac:dyDescent="0.3">
      <c r="A859" s="5" t="s">
        <v>866</v>
      </c>
      <c r="B859" s="3">
        <v>1</v>
      </c>
    </row>
    <row r="860" spans="1:2" x14ac:dyDescent="0.3">
      <c r="A860" s="5" t="s">
        <v>867</v>
      </c>
      <c r="B860" s="3">
        <v>1</v>
      </c>
    </row>
    <row r="861" spans="1:2" x14ac:dyDescent="0.3">
      <c r="A861" s="5" t="s">
        <v>868</v>
      </c>
      <c r="B861" s="3">
        <v>1</v>
      </c>
    </row>
    <row r="862" spans="1:2" x14ac:dyDescent="0.3">
      <c r="A862" s="5" t="s">
        <v>869</v>
      </c>
      <c r="B862" s="3">
        <v>1</v>
      </c>
    </row>
    <row r="863" spans="1:2" x14ac:dyDescent="0.3">
      <c r="A863" s="5" t="s">
        <v>870</v>
      </c>
      <c r="B863" s="3">
        <v>1</v>
      </c>
    </row>
    <row r="864" spans="1:2" x14ac:dyDescent="0.3">
      <c r="A864" s="5" t="s">
        <v>871</v>
      </c>
      <c r="B864" s="3">
        <v>1</v>
      </c>
    </row>
    <row r="865" spans="1:2" x14ac:dyDescent="0.3">
      <c r="A865" s="5" t="s">
        <v>872</v>
      </c>
      <c r="B865" s="3">
        <v>1</v>
      </c>
    </row>
    <row r="866" spans="1:2" x14ac:dyDescent="0.3">
      <c r="A866" s="5" t="s">
        <v>873</v>
      </c>
      <c r="B866" s="3">
        <v>1</v>
      </c>
    </row>
    <row r="867" spans="1:2" x14ac:dyDescent="0.3">
      <c r="A867" s="5" t="s">
        <v>874</v>
      </c>
      <c r="B867" s="3">
        <v>1</v>
      </c>
    </row>
    <row r="868" spans="1:2" x14ac:dyDescent="0.3">
      <c r="A868" s="5" t="s">
        <v>875</v>
      </c>
      <c r="B868" s="3">
        <v>1</v>
      </c>
    </row>
    <row r="869" spans="1:2" x14ac:dyDescent="0.3">
      <c r="A869" s="5" t="s">
        <v>876</v>
      </c>
      <c r="B869" s="3">
        <v>1</v>
      </c>
    </row>
    <row r="870" spans="1:2" x14ac:dyDescent="0.3">
      <c r="A870" s="5" t="s">
        <v>877</v>
      </c>
      <c r="B870" s="3">
        <v>1</v>
      </c>
    </row>
    <row r="871" spans="1:2" x14ac:dyDescent="0.3">
      <c r="A871" s="5" t="s">
        <v>878</v>
      </c>
      <c r="B871" s="3">
        <v>1</v>
      </c>
    </row>
    <row r="872" spans="1:2" x14ac:dyDescent="0.3">
      <c r="A872" s="5" t="s">
        <v>879</v>
      </c>
      <c r="B872" s="3">
        <v>1</v>
      </c>
    </row>
    <row r="873" spans="1:2" x14ac:dyDescent="0.3">
      <c r="A873" s="5" t="s">
        <v>880</v>
      </c>
      <c r="B873" s="3">
        <v>1</v>
      </c>
    </row>
    <row r="874" spans="1:2" x14ac:dyDescent="0.3">
      <c r="A874" s="5" t="s">
        <v>881</v>
      </c>
      <c r="B874" s="3">
        <v>1</v>
      </c>
    </row>
    <row r="875" spans="1:2" x14ac:dyDescent="0.3">
      <c r="A875" s="5" t="s">
        <v>882</v>
      </c>
      <c r="B875" s="3">
        <v>1</v>
      </c>
    </row>
    <row r="876" spans="1:2" x14ac:dyDescent="0.3">
      <c r="A876" s="5" t="s">
        <v>883</v>
      </c>
      <c r="B876" s="3">
        <v>1</v>
      </c>
    </row>
    <row r="877" spans="1:2" x14ac:dyDescent="0.3">
      <c r="A877" s="5" t="s">
        <v>884</v>
      </c>
      <c r="B877" s="3">
        <v>1</v>
      </c>
    </row>
    <row r="878" spans="1:2" x14ac:dyDescent="0.3">
      <c r="A878" s="5" t="s">
        <v>885</v>
      </c>
      <c r="B878" s="3">
        <v>1</v>
      </c>
    </row>
    <row r="879" spans="1:2" x14ac:dyDescent="0.3">
      <c r="A879" s="5" t="s">
        <v>886</v>
      </c>
      <c r="B879" s="3">
        <v>1</v>
      </c>
    </row>
    <row r="880" spans="1:2" x14ac:dyDescent="0.3">
      <c r="A880" s="5" t="s">
        <v>887</v>
      </c>
      <c r="B880" s="3">
        <v>1</v>
      </c>
    </row>
    <row r="881" spans="1:2" x14ac:dyDescent="0.3">
      <c r="A881" s="5" t="s">
        <v>888</v>
      </c>
      <c r="B881" s="3">
        <v>1</v>
      </c>
    </row>
    <row r="882" spans="1:2" x14ac:dyDescent="0.3">
      <c r="A882" s="5" t="s">
        <v>889</v>
      </c>
      <c r="B882" s="3">
        <v>1</v>
      </c>
    </row>
    <row r="883" spans="1:2" x14ac:dyDescent="0.3">
      <c r="A883" s="5" t="s">
        <v>890</v>
      </c>
      <c r="B883" s="3">
        <v>1</v>
      </c>
    </row>
    <row r="884" spans="1:2" x14ac:dyDescent="0.3">
      <c r="A884" s="5" t="s">
        <v>891</v>
      </c>
      <c r="B884" s="3">
        <v>1</v>
      </c>
    </row>
    <row r="885" spans="1:2" x14ac:dyDescent="0.3">
      <c r="A885" s="5" t="s">
        <v>892</v>
      </c>
      <c r="B885" s="3">
        <v>1</v>
      </c>
    </row>
    <row r="886" spans="1:2" x14ac:dyDescent="0.3">
      <c r="A886" s="5" t="s">
        <v>893</v>
      </c>
      <c r="B886" s="3">
        <v>1</v>
      </c>
    </row>
    <row r="887" spans="1:2" x14ac:dyDescent="0.3">
      <c r="A887" s="5" t="s">
        <v>894</v>
      </c>
      <c r="B887" s="3">
        <v>1</v>
      </c>
    </row>
    <row r="888" spans="1:2" x14ac:dyDescent="0.3">
      <c r="A888" s="5" t="s">
        <v>895</v>
      </c>
      <c r="B888" s="3">
        <v>1</v>
      </c>
    </row>
    <row r="889" spans="1:2" x14ac:dyDescent="0.3">
      <c r="A889" s="5" t="s">
        <v>896</v>
      </c>
      <c r="B889" s="3">
        <v>1</v>
      </c>
    </row>
    <row r="890" spans="1:2" x14ac:dyDescent="0.3">
      <c r="A890" s="5" t="s">
        <v>897</v>
      </c>
      <c r="B890" s="3">
        <v>1</v>
      </c>
    </row>
    <row r="891" spans="1:2" x14ac:dyDescent="0.3">
      <c r="A891" s="5" t="s">
        <v>898</v>
      </c>
      <c r="B891" s="3">
        <v>1</v>
      </c>
    </row>
    <row r="892" spans="1:2" x14ac:dyDescent="0.3">
      <c r="A892" s="5" t="s">
        <v>899</v>
      </c>
      <c r="B892" s="3">
        <v>1</v>
      </c>
    </row>
    <row r="893" spans="1:2" x14ac:dyDescent="0.3">
      <c r="A893" s="5" t="s">
        <v>900</v>
      </c>
      <c r="B893" s="3">
        <v>1</v>
      </c>
    </row>
    <row r="894" spans="1:2" x14ac:dyDescent="0.3">
      <c r="A894" s="5" t="s">
        <v>901</v>
      </c>
      <c r="B894" s="3">
        <v>1</v>
      </c>
    </row>
    <row r="895" spans="1:2" x14ac:dyDescent="0.3">
      <c r="A895" s="5" t="s">
        <v>902</v>
      </c>
      <c r="B895" s="3">
        <v>1</v>
      </c>
    </row>
    <row r="896" spans="1:2" x14ac:dyDescent="0.3">
      <c r="A896" s="5" t="s">
        <v>903</v>
      </c>
      <c r="B896" s="3">
        <v>1</v>
      </c>
    </row>
    <row r="897" spans="1:2" x14ac:dyDescent="0.3">
      <c r="A897" s="5" t="s">
        <v>904</v>
      </c>
      <c r="B897" s="3">
        <v>1</v>
      </c>
    </row>
    <row r="898" spans="1:2" x14ac:dyDescent="0.3">
      <c r="A898" s="5" t="s">
        <v>905</v>
      </c>
      <c r="B898" s="3">
        <v>1</v>
      </c>
    </row>
    <row r="899" spans="1:2" x14ac:dyDescent="0.3">
      <c r="A899" s="5" t="s">
        <v>906</v>
      </c>
      <c r="B899" s="3">
        <v>1</v>
      </c>
    </row>
    <row r="900" spans="1:2" x14ac:dyDescent="0.3">
      <c r="A900" s="5" t="s">
        <v>907</v>
      </c>
      <c r="B900" s="3">
        <v>1</v>
      </c>
    </row>
    <row r="901" spans="1:2" x14ac:dyDescent="0.3">
      <c r="A901" s="5" t="s">
        <v>908</v>
      </c>
      <c r="B901" s="3">
        <v>1</v>
      </c>
    </row>
    <row r="902" spans="1:2" x14ac:dyDescent="0.3">
      <c r="A902" s="5" t="s">
        <v>909</v>
      </c>
      <c r="B902" s="3">
        <v>1</v>
      </c>
    </row>
    <row r="903" spans="1:2" x14ac:dyDescent="0.3">
      <c r="A903" s="5" t="s">
        <v>910</v>
      </c>
      <c r="B903" s="3">
        <v>1</v>
      </c>
    </row>
    <row r="904" spans="1:2" x14ac:dyDescent="0.3">
      <c r="A904" s="5" t="s">
        <v>911</v>
      </c>
      <c r="B904" s="3">
        <v>1</v>
      </c>
    </row>
    <row r="905" spans="1:2" x14ac:dyDescent="0.3">
      <c r="A905" s="5" t="s">
        <v>912</v>
      </c>
      <c r="B905" s="3">
        <v>1</v>
      </c>
    </row>
    <row r="906" spans="1:2" x14ac:dyDescent="0.3">
      <c r="A906" s="5" t="s">
        <v>913</v>
      </c>
      <c r="B906" s="3">
        <v>1</v>
      </c>
    </row>
    <row r="907" spans="1:2" x14ac:dyDescent="0.3">
      <c r="A907" s="5" t="s">
        <v>914</v>
      </c>
      <c r="B907" s="3">
        <v>1</v>
      </c>
    </row>
    <row r="908" spans="1:2" x14ac:dyDescent="0.3">
      <c r="A908" s="5" t="s">
        <v>915</v>
      </c>
      <c r="B908" s="3">
        <v>1</v>
      </c>
    </row>
    <row r="909" spans="1:2" x14ac:dyDescent="0.3">
      <c r="A909" s="5" t="s">
        <v>916</v>
      </c>
      <c r="B909" s="3">
        <v>1</v>
      </c>
    </row>
    <row r="910" spans="1:2" x14ac:dyDescent="0.3">
      <c r="A910" s="5" t="s">
        <v>917</v>
      </c>
      <c r="B910" s="3">
        <v>1</v>
      </c>
    </row>
    <row r="911" spans="1:2" x14ac:dyDescent="0.3">
      <c r="A911" s="5" t="s">
        <v>918</v>
      </c>
      <c r="B911" s="3">
        <v>1</v>
      </c>
    </row>
    <row r="912" spans="1:2" x14ac:dyDescent="0.3">
      <c r="A912" s="5" t="s">
        <v>919</v>
      </c>
      <c r="B912" s="3">
        <v>1</v>
      </c>
    </row>
    <row r="913" spans="1:2" x14ac:dyDescent="0.3">
      <c r="A913" s="5" t="s">
        <v>920</v>
      </c>
      <c r="B913" s="3">
        <v>1</v>
      </c>
    </row>
    <row r="914" spans="1:2" x14ac:dyDescent="0.3">
      <c r="A914" s="5" t="s">
        <v>921</v>
      </c>
      <c r="B914" s="3">
        <v>1</v>
      </c>
    </row>
    <row r="915" spans="1:2" x14ac:dyDescent="0.3">
      <c r="A915" s="5" t="s">
        <v>922</v>
      </c>
      <c r="B915" s="3">
        <v>1</v>
      </c>
    </row>
    <row r="916" spans="1:2" x14ac:dyDescent="0.3">
      <c r="A916" s="5" t="s">
        <v>923</v>
      </c>
      <c r="B916" s="3">
        <v>1</v>
      </c>
    </row>
    <row r="917" spans="1:2" x14ac:dyDescent="0.3">
      <c r="A917" s="5" t="s">
        <v>924</v>
      </c>
      <c r="B917" s="3">
        <v>1</v>
      </c>
    </row>
    <row r="918" spans="1:2" x14ac:dyDescent="0.3">
      <c r="A918" s="5" t="s">
        <v>925</v>
      </c>
      <c r="B918" s="3">
        <v>1</v>
      </c>
    </row>
    <row r="919" spans="1:2" x14ac:dyDescent="0.3">
      <c r="A919" s="5" t="s">
        <v>926</v>
      </c>
      <c r="B919" s="3">
        <v>1</v>
      </c>
    </row>
    <row r="920" spans="1:2" x14ac:dyDescent="0.3">
      <c r="A920" s="5" t="s">
        <v>927</v>
      </c>
      <c r="B920" s="3">
        <v>1</v>
      </c>
    </row>
    <row r="921" spans="1:2" x14ac:dyDescent="0.3">
      <c r="A921" s="5" t="s">
        <v>928</v>
      </c>
      <c r="B921" s="3">
        <v>1</v>
      </c>
    </row>
    <row r="922" spans="1:2" x14ac:dyDescent="0.3">
      <c r="A922" s="5" t="s">
        <v>929</v>
      </c>
      <c r="B922" s="3">
        <v>1</v>
      </c>
    </row>
    <row r="923" spans="1:2" x14ac:dyDescent="0.3">
      <c r="A923" s="5" t="s">
        <v>930</v>
      </c>
      <c r="B923" s="3">
        <v>1</v>
      </c>
    </row>
    <row r="924" spans="1:2" x14ac:dyDescent="0.3">
      <c r="A924" s="5" t="s">
        <v>931</v>
      </c>
      <c r="B924" s="3">
        <v>1</v>
      </c>
    </row>
    <row r="925" spans="1:2" x14ac:dyDescent="0.3">
      <c r="A925" s="5" t="s">
        <v>932</v>
      </c>
      <c r="B925" s="3">
        <v>1</v>
      </c>
    </row>
    <row r="926" spans="1:2" x14ac:dyDescent="0.3">
      <c r="A926" s="5" t="s">
        <v>933</v>
      </c>
      <c r="B926" s="3">
        <v>1</v>
      </c>
    </row>
    <row r="927" spans="1:2" x14ac:dyDescent="0.3">
      <c r="A927" s="5" t="s">
        <v>934</v>
      </c>
      <c r="B927" s="3">
        <v>1</v>
      </c>
    </row>
    <row r="928" spans="1:2" x14ac:dyDescent="0.3">
      <c r="A928" s="5" t="s">
        <v>935</v>
      </c>
      <c r="B928" s="3">
        <v>1</v>
      </c>
    </row>
    <row r="929" spans="1:2" x14ac:dyDescent="0.3">
      <c r="A929" s="5" t="s">
        <v>936</v>
      </c>
      <c r="B929" s="3">
        <v>1</v>
      </c>
    </row>
    <row r="930" spans="1:2" x14ac:dyDescent="0.3">
      <c r="A930" s="5" t="s">
        <v>937</v>
      </c>
      <c r="B930" s="3">
        <v>1</v>
      </c>
    </row>
    <row r="931" spans="1:2" x14ac:dyDescent="0.3">
      <c r="A931" s="5" t="s">
        <v>938</v>
      </c>
      <c r="B931" s="3">
        <v>1</v>
      </c>
    </row>
    <row r="932" spans="1:2" x14ac:dyDescent="0.3">
      <c r="A932" s="5" t="s">
        <v>939</v>
      </c>
      <c r="B932" s="3">
        <v>1</v>
      </c>
    </row>
    <row r="933" spans="1:2" x14ac:dyDescent="0.3">
      <c r="A933" s="5" t="s">
        <v>940</v>
      </c>
      <c r="B933" s="3">
        <v>1</v>
      </c>
    </row>
    <row r="934" spans="1:2" x14ac:dyDescent="0.3">
      <c r="A934" s="5" t="s">
        <v>941</v>
      </c>
      <c r="B934" s="3">
        <v>1</v>
      </c>
    </row>
    <row r="935" spans="1:2" x14ac:dyDescent="0.3">
      <c r="A935" s="5" t="s">
        <v>942</v>
      </c>
      <c r="B935" s="3">
        <v>1</v>
      </c>
    </row>
    <row r="936" spans="1:2" x14ac:dyDescent="0.3">
      <c r="A936" s="5" t="s">
        <v>943</v>
      </c>
      <c r="B936" s="3">
        <v>1</v>
      </c>
    </row>
    <row r="937" spans="1:2" x14ac:dyDescent="0.3">
      <c r="A937" s="5" t="s">
        <v>944</v>
      </c>
      <c r="B937" s="3">
        <v>1</v>
      </c>
    </row>
    <row r="938" spans="1:2" x14ac:dyDescent="0.3">
      <c r="A938" s="5" t="s">
        <v>945</v>
      </c>
      <c r="B938" s="3">
        <v>1</v>
      </c>
    </row>
    <row r="939" spans="1:2" x14ac:dyDescent="0.3">
      <c r="A939" s="5" t="s">
        <v>946</v>
      </c>
      <c r="B939" s="3">
        <v>1</v>
      </c>
    </row>
    <row r="940" spans="1:2" x14ac:dyDescent="0.3">
      <c r="A940" s="5" t="s">
        <v>947</v>
      </c>
      <c r="B940" s="3">
        <v>1</v>
      </c>
    </row>
    <row r="941" spans="1:2" x14ac:dyDescent="0.3">
      <c r="A941" s="5" t="s">
        <v>948</v>
      </c>
      <c r="B941" s="3">
        <v>1</v>
      </c>
    </row>
    <row r="942" spans="1:2" x14ac:dyDescent="0.3">
      <c r="A942" s="5" t="s">
        <v>949</v>
      </c>
      <c r="B942" s="3">
        <v>1</v>
      </c>
    </row>
    <row r="943" spans="1:2" x14ac:dyDescent="0.3">
      <c r="A943" s="5" t="s">
        <v>950</v>
      </c>
      <c r="B943" s="3">
        <v>1</v>
      </c>
    </row>
    <row r="944" spans="1:2" x14ac:dyDescent="0.3">
      <c r="A944" s="5" t="s">
        <v>951</v>
      </c>
      <c r="B944" s="3">
        <v>1</v>
      </c>
    </row>
    <row r="945" spans="1:2" x14ac:dyDescent="0.3">
      <c r="A945" s="5" t="s">
        <v>952</v>
      </c>
      <c r="B945" s="3">
        <v>1</v>
      </c>
    </row>
    <row r="946" spans="1:2" x14ac:dyDescent="0.3">
      <c r="A946" s="5" t="s">
        <v>953</v>
      </c>
      <c r="B946" s="3">
        <v>1</v>
      </c>
    </row>
    <row r="947" spans="1:2" x14ac:dyDescent="0.3">
      <c r="A947" s="5" t="s">
        <v>954</v>
      </c>
      <c r="B947" s="3">
        <v>1</v>
      </c>
    </row>
    <row r="948" spans="1:2" x14ac:dyDescent="0.3">
      <c r="A948" s="5" t="s">
        <v>955</v>
      </c>
      <c r="B948" s="3">
        <v>1</v>
      </c>
    </row>
    <row r="949" spans="1:2" x14ac:dyDescent="0.3">
      <c r="A949" s="5" t="s">
        <v>956</v>
      </c>
      <c r="B949" s="3">
        <v>1</v>
      </c>
    </row>
    <row r="950" spans="1:2" x14ac:dyDescent="0.3">
      <c r="A950" s="5" t="s">
        <v>957</v>
      </c>
      <c r="B950" s="3">
        <v>1</v>
      </c>
    </row>
    <row r="951" spans="1:2" x14ac:dyDescent="0.3">
      <c r="A951" s="5" t="s">
        <v>958</v>
      </c>
      <c r="B951" s="3">
        <v>1</v>
      </c>
    </row>
    <row r="952" spans="1:2" x14ac:dyDescent="0.3">
      <c r="A952" s="5" t="s">
        <v>959</v>
      </c>
      <c r="B952" s="3">
        <v>1</v>
      </c>
    </row>
    <row r="953" spans="1:2" x14ac:dyDescent="0.3">
      <c r="A953" s="5" t="s">
        <v>960</v>
      </c>
      <c r="B953" s="3">
        <v>1</v>
      </c>
    </row>
    <row r="954" spans="1:2" x14ac:dyDescent="0.3">
      <c r="A954" s="5" t="s">
        <v>961</v>
      </c>
      <c r="B954" s="3">
        <v>1</v>
      </c>
    </row>
    <row r="955" spans="1:2" x14ac:dyDescent="0.3">
      <c r="A955" s="5" t="s">
        <v>962</v>
      </c>
      <c r="B955" s="3">
        <v>1</v>
      </c>
    </row>
    <row r="956" spans="1:2" x14ac:dyDescent="0.3">
      <c r="A956" s="5" t="s">
        <v>963</v>
      </c>
      <c r="B956" s="3">
        <v>1</v>
      </c>
    </row>
    <row r="957" spans="1:2" x14ac:dyDescent="0.3">
      <c r="A957" s="5" t="s">
        <v>964</v>
      </c>
      <c r="B957" s="3">
        <v>1</v>
      </c>
    </row>
    <row r="958" spans="1:2" x14ac:dyDescent="0.3">
      <c r="A958" s="5" t="s">
        <v>965</v>
      </c>
      <c r="B958" s="3">
        <v>1</v>
      </c>
    </row>
    <row r="959" spans="1:2" x14ac:dyDescent="0.3">
      <c r="A959" s="5" t="s">
        <v>966</v>
      </c>
      <c r="B959" s="3">
        <v>1</v>
      </c>
    </row>
    <row r="960" spans="1:2" x14ac:dyDescent="0.3">
      <c r="A960" s="5" t="s">
        <v>967</v>
      </c>
      <c r="B960" s="3">
        <v>1</v>
      </c>
    </row>
    <row r="961" spans="1:2" x14ac:dyDescent="0.3">
      <c r="A961" s="5" t="s">
        <v>968</v>
      </c>
      <c r="B961" s="3">
        <v>1</v>
      </c>
    </row>
    <row r="962" spans="1:2" x14ac:dyDescent="0.3">
      <c r="A962" s="5" t="s">
        <v>969</v>
      </c>
      <c r="B962" s="3">
        <v>1</v>
      </c>
    </row>
    <row r="963" spans="1:2" x14ac:dyDescent="0.3">
      <c r="A963" s="5" t="s">
        <v>970</v>
      </c>
      <c r="B963" s="3">
        <v>1</v>
      </c>
    </row>
    <row r="964" spans="1:2" x14ac:dyDescent="0.3">
      <c r="A964" s="5" t="s">
        <v>971</v>
      </c>
      <c r="B964" s="3">
        <v>1</v>
      </c>
    </row>
    <row r="965" spans="1:2" x14ac:dyDescent="0.3">
      <c r="A965" s="5" t="s">
        <v>972</v>
      </c>
      <c r="B965" s="3">
        <v>1</v>
      </c>
    </row>
    <row r="966" spans="1:2" x14ac:dyDescent="0.3">
      <c r="A966" s="5" t="s">
        <v>973</v>
      </c>
      <c r="B966" s="3">
        <v>1</v>
      </c>
    </row>
    <row r="967" spans="1:2" x14ac:dyDescent="0.3">
      <c r="A967" s="5" t="s">
        <v>974</v>
      </c>
      <c r="B967" s="3">
        <v>1</v>
      </c>
    </row>
    <row r="968" spans="1:2" x14ac:dyDescent="0.3">
      <c r="A968" s="5" t="s">
        <v>975</v>
      </c>
      <c r="B968" s="3">
        <v>1</v>
      </c>
    </row>
    <row r="969" spans="1:2" x14ac:dyDescent="0.3">
      <c r="A969" s="5" t="s">
        <v>976</v>
      </c>
      <c r="B969" s="3">
        <v>1</v>
      </c>
    </row>
    <row r="970" spans="1:2" x14ac:dyDescent="0.3">
      <c r="A970" s="5" t="s">
        <v>977</v>
      </c>
      <c r="B970" s="3">
        <v>1</v>
      </c>
    </row>
    <row r="971" spans="1:2" x14ac:dyDescent="0.3">
      <c r="A971" s="5" t="s">
        <v>978</v>
      </c>
      <c r="B971" s="3">
        <v>1</v>
      </c>
    </row>
    <row r="972" spans="1:2" x14ac:dyDescent="0.3">
      <c r="A972" s="5" t="s">
        <v>979</v>
      </c>
      <c r="B972" s="3">
        <v>1</v>
      </c>
    </row>
    <row r="973" spans="1:2" x14ac:dyDescent="0.3">
      <c r="A973" s="5" t="s">
        <v>980</v>
      </c>
      <c r="B973" s="3">
        <v>1</v>
      </c>
    </row>
    <row r="974" spans="1:2" x14ac:dyDescent="0.3">
      <c r="A974" s="5" t="s">
        <v>981</v>
      </c>
      <c r="B974" s="3">
        <v>1</v>
      </c>
    </row>
    <row r="975" spans="1:2" x14ac:dyDescent="0.3">
      <c r="A975" s="5" t="s">
        <v>982</v>
      </c>
      <c r="B975" s="3">
        <v>1</v>
      </c>
    </row>
    <row r="976" spans="1:2" x14ac:dyDescent="0.3">
      <c r="A976" s="5" t="s">
        <v>983</v>
      </c>
      <c r="B976" s="3">
        <v>1</v>
      </c>
    </row>
    <row r="977" spans="1:2" x14ac:dyDescent="0.3">
      <c r="A977" s="5" t="s">
        <v>984</v>
      </c>
      <c r="B977" s="3">
        <v>1</v>
      </c>
    </row>
    <row r="978" spans="1:2" x14ac:dyDescent="0.3">
      <c r="A978" s="5" t="s">
        <v>985</v>
      </c>
      <c r="B978" s="3">
        <v>1</v>
      </c>
    </row>
    <row r="979" spans="1:2" x14ac:dyDescent="0.3">
      <c r="A979" s="5" t="s">
        <v>986</v>
      </c>
      <c r="B979" s="3">
        <v>1</v>
      </c>
    </row>
    <row r="980" spans="1:2" x14ac:dyDescent="0.3">
      <c r="A980" s="5" t="s">
        <v>987</v>
      </c>
      <c r="B980" s="3">
        <v>1</v>
      </c>
    </row>
    <row r="981" spans="1:2" x14ac:dyDescent="0.3">
      <c r="A981" s="5" t="s">
        <v>988</v>
      </c>
      <c r="B981" s="3">
        <v>1</v>
      </c>
    </row>
    <row r="982" spans="1:2" x14ac:dyDescent="0.3">
      <c r="A982" s="5" t="s">
        <v>989</v>
      </c>
      <c r="B982" s="3">
        <v>1</v>
      </c>
    </row>
    <row r="983" spans="1:2" x14ac:dyDescent="0.3">
      <c r="A983" s="5" t="s">
        <v>990</v>
      </c>
      <c r="B983" s="3">
        <v>1</v>
      </c>
    </row>
    <row r="984" spans="1:2" x14ac:dyDescent="0.3">
      <c r="A984" s="5" t="s">
        <v>991</v>
      </c>
      <c r="B984" s="3">
        <v>1</v>
      </c>
    </row>
    <row r="985" spans="1:2" x14ac:dyDescent="0.3">
      <c r="A985" s="5" t="s">
        <v>992</v>
      </c>
      <c r="B985" s="3">
        <v>1</v>
      </c>
    </row>
    <row r="986" spans="1:2" x14ac:dyDescent="0.3">
      <c r="A986" s="5" t="s">
        <v>993</v>
      </c>
      <c r="B986" s="3">
        <v>1</v>
      </c>
    </row>
    <row r="987" spans="1:2" x14ac:dyDescent="0.3">
      <c r="A987" s="5" t="s">
        <v>994</v>
      </c>
      <c r="B987" s="3">
        <v>1</v>
      </c>
    </row>
    <row r="988" spans="1:2" x14ac:dyDescent="0.3">
      <c r="A988" s="5" t="s">
        <v>995</v>
      </c>
      <c r="B988" s="3">
        <v>1</v>
      </c>
    </row>
    <row r="989" spans="1:2" x14ac:dyDescent="0.3">
      <c r="A989" s="5" t="s">
        <v>996</v>
      </c>
      <c r="B989" s="3">
        <v>1</v>
      </c>
    </row>
    <row r="990" spans="1:2" x14ac:dyDescent="0.3">
      <c r="A990" s="5" t="s">
        <v>997</v>
      </c>
      <c r="B990" s="3">
        <v>1</v>
      </c>
    </row>
    <row r="991" spans="1:2" x14ac:dyDescent="0.3">
      <c r="A991" s="5" t="s">
        <v>998</v>
      </c>
      <c r="B991" s="3">
        <v>1</v>
      </c>
    </row>
    <row r="992" spans="1:2" x14ac:dyDescent="0.3">
      <c r="A992" s="5" t="s">
        <v>999</v>
      </c>
      <c r="B992" s="3">
        <v>1</v>
      </c>
    </row>
    <row r="993" spans="1:2" x14ac:dyDescent="0.3">
      <c r="A993" s="5" t="s">
        <v>1000</v>
      </c>
      <c r="B993" s="3">
        <v>1</v>
      </c>
    </row>
    <row r="994" spans="1:2" x14ac:dyDescent="0.3">
      <c r="A994" s="5" t="s">
        <v>1001</v>
      </c>
      <c r="B994" s="3">
        <v>1</v>
      </c>
    </row>
    <row r="995" spans="1:2" x14ac:dyDescent="0.3">
      <c r="A995" s="5" t="s">
        <v>1002</v>
      </c>
      <c r="B995" s="3">
        <v>1</v>
      </c>
    </row>
    <row r="996" spans="1:2" x14ac:dyDescent="0.3">
      <c r="A996" s="5" t="s">
        <v>1003</v>
      </c>
      <c r="B996" s="3">
        <v>1</v>
      </c>
    </row>
    <row r="997" spans="1:2" x14ac:dyDescent="0.3">
      <c r="A997" s="5" t="s">
        <v>1004</v>
      </c>
      <c r="B997" s="3">
        <v>1</v>
      </c>
    </row>
    <row r="998" spans="1:2" x14ac:dyDescent="0.3">
      <c r="A998" s="5" t="s">
        <v>1005</v>
      </c>
      <c r="B998" s="3">
        <v>1</v>
      </c>
    </row>
    <row r="999" spans="1:2" x14ac:dyDescent="0.3">
      <c r="A999" s="5" t="s">
        <v>1006</v>
      </c>
      <c r="B999" s="3">
        <v>1</v>
      </c>
    </row>
    <row r="1000" spans="1:2" x14ac:dyDescent="0.3">
      <c r="A1000" s="5" t="s">
        <v>1007</v>
      </c>
      <c r="B1000" s="3">
        <v>1</v>
      </c>
    </row>
    <row r="1001" spans="1:2" x14ac:dyDescent="0.3">
      <c r="A1001" s="5" t="s">
        <v>1008</v>
      </c>
      <c r="B1001" s="3">
        <v>1</v>
      </c>
    </row>
    <row r="1002" spans="1:2" x14ac:dyDescent="0.3">
      <c r="A1002" s="5" t="s">
        <v>1009</v>
      </c>
      <c r="B1002" s="3">
        <v>1</v>
      </c>
    </row>
    <row r="1003" spans="1:2" x14ac:dyDescent="0.3">
      <c r="A1003" s="5" t="s">
        <v>1010</v>
      </c>
      <c r="B1003" s="3">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2460C-F3BE-4AF1-A119-5FAECAAFD306}">
  <dimension ref="A1:K1016"/>
  <sheetViews>
    <sheetView topLeftCell="A2" workbookViewId="0">
      <selection sqref="A1:K1016"/>
    </sheetView>
  </sheetViews>
  <sheetFormatPr defaultRowHeight="14.4" x14ac:dyDescent="0.3"/>
  <cols>
    <col min="1" max="1" width="14.88671875" customWidth="1"/>
    <col min="2" max="2" width="24.88671875" customWidth="1"/>
    <col min="3" max="3" width="19.6640625" customWidth="1"/>
    <col min="4" max="4" width="14.6640625" customWidth="1"/>
    <col min="5" max="5" width="15.33203125" customWidth="1"/>
    <col min="6" max="6" width="18.6640625" customWidth="1"/>
    <col min="7" max="7" width="13.33203125" customWidth="1"/>
    <col min="8" max="8" width="19.109375" customWidth="1"/>
    <col min="9" max="9" width="23.6640625" customWidth="1"/>
    <col min="10" max="10" width="17.33203125" customWidth="1"/>
    <col min="11" max="11" width="15" customWidth="1"/>
  </cols>
  <sheetData>
    <row r="1" spans="1:11" x14ac:dyDescent="0.3">
      <c r="A1" t="s">
        <v>1011</v>
      </c>
      <c r="B1" t="s">
        <v>1012</v>
      </c>
      <c r="C1" t="s">
        <v>1013</v>
      </c>
      <c r="D1" t="s">
        <v>1014</v>
      </c>
      <c r="E1" t="s">
        <v>1015</v>
      </c>
      <c r="F1" t="s">
        <v>1016</v>
      </c>
      <c r="G1" t="s">
        <v>1017</v>
      </c>
      <c r="H1" t="s">
        <v>1018</v>
      </c>
      <c r="I1" s="2" t="s">
        <v>1019</v>
      </c>
      <c r="J1" s="2" t="s">
        <v>1020</v>
      </c>
      <c r="K1" s="2" t="s">
        <v>1021</v>
      </c>
    </row>
    <row r="2" spans="1:11" x14ac:dyDescent="0.3">
      <c r="A2">
        <v>180</v>
      </c>
      <c r="B2" s="1">
        <v>44927</v>
      </c>
      <c r="C2" s="3">
        <f t="shared" ref="C2:C65" si="0">YEAR(B2)</f>
        <v>2023</v>
      </c>
      <c r="D2" s="3">
        <f t="shared" ref="D2:D65" si="1">MONTH(B2)</f>
        <v>1</v>
      </c>
      <c r="E2" t="s">
        <v>501</v>
      </c>
      <c r="F2" t="s">
        <v>1022</v>
      </c>
      <c r="G2">
        <v>41</v>
      </c>
      <c r="H2" t="s">
        <v>3</v>
      </c>
      <c r="I2" s="3">
        <v>3</v>
      </c>
      <c r="J2" s="2">
        <v>300</v>
      </c>
      <c r="K2" s="2">
        <v>900</v>
      </c>
    </row>
    <row r="3" spans="1:11" x14ac:dyDescent="0.3">
      <c r="A3">
        <v>522</v>
      </c>
      <c r="B3" s="1">
        <v>44927</v>
      </c>
      <c r="C3" s="3">
        <f t="shared" si="0"/>
        <v>2023</v>
      </c>
      <c r="D3" s="3">
        <f t="shared" si="1"/>
        <v>1</v>
      </c>
      <c r="E3" t="s">
        <v>426</v>
      </c>
      <c r="F3" t="s">
        <v>1022</v>
      </c>
      <c r="G3">
        <v>46</v>
      </c>
      <c r="H3" t="s">
        <v>2</v>
      </c>
      <c r="I3" s="3">
        <v>3</v>
      </c>
      <c r="J3" s="2">
        <v>500</v>
      </c>
      <c r="K3" s="2">
        <v>1500</v>
      </c>
    </row>
    <row r="4" spans="1:11" x14ac:dyDescent="0.3">
      <c r="A4">
        <v>559</v>
      </c>
      <c r="B4" s="1">
        <v>44927</v>
      </c>
      <c r="C4" s="3">
        <f t="shared" si="0"/>
        <v>2023</v>
      </c>
      <c r="D4" s="3">
        <f t="shared" si="1"/>
        <v>1</v>
      </c>
      <c r="E4" t="s">
        <v>152</v>
      </c>
      <c r="F4" t="s">
        <v>1023</v>
      </c>
      <c r="G4">
        <v>40</v>
      </c>
      <c r="H4" t="s">
        <v>3</v>
      </c>
      <c r="I4" s="3">
        <v>4</v>
      </c>
      <c r="J4" s="2">
        <v>300</v>
      </c>
      <c r="K4" s="2">
        <v>1200</v>
      </c>
    </row>
    <row r="5" spans="1:11" x14ac:dyDescent="0.3">
      <c r="A5">
        <v>163</v>
      </c>
      <c r="B5" s="1">
        <v>44928</v>
      </c>
      <c r="C5" s="3">
        <f t="shared" si="0"/>
        <v>2023</v>
      </c>
      <c r="D5" s="3">
        <f t="shared" si="1"/>
        <v>1</v>
      </c>
      <c r="E5" t="s">
        <v>485</v>
      </c>
      <c r="F5" t="s">
        <v>1023</v>
      </c>
      <c r="G5">
        <v>64</v>
      </c>
      <c r="H5" t="s">
        <v>3</v>
      </c>
      <c r="I5" s="3">
        <v>3</v>
      </c>
      <c r="J5" s="2">
        <v>50</v>
      </c>
      <c r="K5" s="2">
        <v>150</v>
      </c>
    </row>
    <row r="6" spans="1:11" x14ac:dyDescent="0.3">
      <c r="A6">
        <v>303</v>
      </c>
      <c r="B6" s="1">
        <v>44928</v>
      </c>
      <c r="C6" s="3">
        <f t="shared" si="0"/>
        <v>2023</v>
      </c>
      <c r="D6" s="3">
        <f t="shared" si="1"/>
        <v>1</v>
      </c>
      <c r="E6" t="s">
        <v>510</v>
      </c>
      <c r="F6" t="s">
        <v>1022</v>
      </c>
      <c r="G6">
        <v>19</v>
      </c>
      <c r="H6" t="s">
        <v>4</v>
      </c>
      <c r="I6" s="3">
        <v>3</v>
      </c>
      <c r="J6" s="2">
        <v>30</v>
      </c>
      <c r="K6" s="2">
        <v>90</v>
      </c>
    </row>
    <row r="7" spans="1:11" x14ac:dyDescent="0.3">
      <c r="A7">
        <v>421</v>
      </c>
      <c r="B7" s="1">
        <v>44928</v>
      </c>
      <c r="C7" s="3">
        <f t="shared" si="0"/>
        <v>2023</v>
      </c>
      <c r="D7" s="3">
        <f t="shared" si="1"/>
        <v>1</v>
      </c>
      <c r="E7" t="s">
        <v>367</v>
      </c>
      <c r="F7" t="s">
        <v>1023</v>
      </c>
      <c r="G7">
        <v>37</v>
      </c>
      <c r="H7" t="s">
        <v>3</v>
      </c>
      <c r="I7" s="3">
        <v>3</v>
      </c>
      <c r="J7" s="2">
        <v>500</v>
      </c>
      <c r="K7" s="2">
        <v>1500</v>
      </c>
    </row>
    <row r="8" spans="1:11" x14ac:dyDescent="0.3">
      <c r="A8">
        <v>979</v>
      </c>
      <c r="B8" s="1">
        <v>44928</v>
      </c>
      <c r="C8" s="3">
        <f t="shared" si="0"/>
        <v>2023</v>
      </c>
      <c r="D8" s="3">
        <f t="shared" si="1"/>
        <v>1</v>
      </c>
      <c r="E8" t="s">
        <v>835</v>
      </c>
      <c r="F8" t="s">
        <v>1023</v>
      </c>
      <c r="G8">
        <v>19</v>
      </c>
      <c r="H8" t="s">
        <v>2</v>
      </c>
      <c r="I8" s="3">
        <v>1</v>
      </c>
      <c r="J8" s="2">
        <v>25</v>
      </c>
      <c r="K8" s="2">
        <v>25</v>
      </c>
    </row>
    <row r="9" spans="1:11" x14ac:dyDescent="0.3">
      <c r="A9">
        <v>610</v>
      </c>
      <c r="B9" s="1">
        <v>44929</v>
      </c>
      <c r="C9" s="3">
        <f t="shared" si="0"/>
        <v>2023</v>
      </c>
      <c r="D9" s="3">
        <f t="shared" si="1"/>
        <v>1</v>
      </c>
      <c r="E9" t="s">
        <v>645</v>
      </c>
      <c r="F9" t="s">
        <v>1023</v>
      </c>
      <c r="G9">
        <v>26</v>
      </c>
      <c r="H9" t="s">
        <v>2</v>
      </c>
      <c r="I9" s="3">
        <v>2</v>
      </c>
      <c r="J9" s="2">
        <v>300</v>
      </c>
      <c r="K9" s="2">
        <v>600</v>
      </c>
    </row>
    <row r="10" spans="1:11" x14ac:dyDescent="0.3">
      <c r="A10">
        <v>32</v>
      </c>
      <c r="B10" s="1">
        <v>44930</v>
      </c>
      <c r="C10" s="3">
        <f t="shared" si="0"/>
        <v>2023</v>
      </c>
      <c r="D10" s="3">
        <f t="shared" si="1"/>
        <v>1</v>
      </c>
      <c r="E10" t="s">
        <v>461</v>
      </c>
      <c r="F10" t="s">
        <v>1022</v>
      </c>
      <c r="G10">
        <v>30</v>
      </c>
      <c r="H10" t="s">
        <v>2</v>
      </c>
      <c r="I10" s="3">
        <v>3</v>
      </c>
      <c r="J10" s="2">
        <v>30</v>
      </c>
      <c r="K10" s="2">
        <v>90</v>
      </c>
    </row>
    <row r="11" spans="1:11" x14ac:dyDescent="0.3">
      <c r="A11">
        <v>231</v>
      </c>
      <c r="B11" s="1">
        <v>44930</v>
      </c>
      <c r="C11" s="3">
        <f t="shared" si="0"/>
        <v>2023</v>
      </c>
      <c r="D11" s="3">
        <f t="shared" si="1"/>
        <v>1</v>
      </c>
      <c r="E11" t="s">
        <v>492</v>
      </c>
      <c r="F11" t="s">
        <v>1023</v>
      </c>
      <c r="G11">
        <v>23</v>
      </c>
      <c r="H11" t="s">
        <v>3</v>
      </c>
      <c r="I11" s="3">
        <v>3</v>
      </c>
      <c r="J11" s="2">
        <v>50</v>
      </c>
      <c r="K11" s="2">
        <v>150</v>
      </c>
    </row>
    <row r="12" spans="1:11" x14ac:dyDescent="0.3">
      <c r="A12">
        <v>683</v>
      </c>
      <c r="B12" s="1">
        <v>44930</v>
      </c>
      <c r="C12" s="3">
        <f t="shared" si="0"/>
        <v>2023</v>
      </c>
      <c r="D12" s="3">
        <f t="shared" si="1"/>
        <v>1</v>
      </c>
      <c r="E12" t="s">
        <v>594</v>
      </c>
      <c r="F12" t="s">
        <v>1022</v>
      </c>
      <c r="G12">
        <v>38</v>
      </c>
      <c r="H12" t="s">
        <v>2</v>
      </c>
      <c r="I12" s="3">
        <v>2</v>
      </c>
      <c r="J12" s="2">
        <v>500</v>
      </c>
      <c r="K12" s="2">
        <v>1000</v>
      </c>
    </row>
    <row r="13" spans="1:11" x14ac:dyDescent="0.3">
      <c r="A13">
        <v>367</v>
      </c>
      <c r="B13" s="1">
        <v>44931</v>
      </c>
      <c r="C13" s="3">
        <f t="shared" si="0"/>
        <v>2023</v>
      </c>
      <c r="D13" s="3">
        <f t="shared" si="1"/>
        <v>1</v>
      </c>
      <c r="E13" t="s">
        <v>872</v>
      </c>
      <c r="F13" t="s">
        <v>1023</v>
      </c>
      <c r="G13">
        <v>57</v>
      </c>
      <c r="H13" t="s">
        <v>4</v>
      </c>
      <c r="I13" s="3">
        <v>1</v>
      </c>
      <c r="J13" s="2">
        <v>50</v>
      </c>
      <c r="K13" s="2">
        <v>50</v>
      </c>
    </row>
    <row r="14" spans="1:11" x14ac:dyDescent="0.3">
      <c r="A14">
        <v>391</v>
      </c>
      <c r="B14" s="1">
        <v>44931</v>
      </c>
      <c r="C14" s="3">
        <f t="shared" si="0"/>
        <v>2023</v>
      </c>
      <c r="D14" s="3">
        <f t="shared" si="1"/>
        <v>1</v>
      </c>
      <c r="E14" t="s">
        <v>620</v>
      </c>
      <c r="F14" t="s">
        <v>1022</v>
      </c>
      <c r="G14">
        <v>19</v>
      </c>
      <c r="H14" t="s">
        <v>2</v>
      </c>
      <c r="I14" s="3">
        <v>2</v>
      </c>
      <c r="J14" s="2">
        <v>25</v>
      </c>
      <c r="K14" s="2">
        <v>50</v>
      </c>
    </row>
    <row r="15" spans="1:11" x14ac:dyDescent="0.3">
      <c r="A15">
        <v>432</v>
      </c>
      <c r="B15" s="1">
        <v>44931</v>
      </c>
      <c r="C15" s="3">
        <f t="shared" si="0"/>
        <v>2023</v>
      </c>
      <c r="D15" s="3">
        <f t="shared" si="1"/>
        <v>1</v>
      </c>
      <c r="E15" t="s">
        <v>669</v>
      </c>
      <c r="F15" t="s">
        <v>1023</v>
      </c>
      <c r="G15">
        <v>60</v>
      </c>
      <c r="H15" t="s">
        <v>4</v>
      </c>
      <c r="I15" s="3">
        <v>2</v>
      </c>
      <c r="J15" s="2">
        <v>500</v>
      </c>
      <c r="K15" s="2">
        <v>1000</v>
      </c>
    </row>
    <row r="16" spans="1:11" x14ac:dyDescent="0.3">
      <c r="A16">
        <v>150</v>
      </c>
      <c r="B16" s="1">
        <v>44932</v>
      </c>
      <c r="C16" s="3">
        <f t="shared" si="0"/>
        <v>2023</v>
      </c>
      <c r="D16" s="3">
        <f t="shared" si="1"/>
        <v>1</v>
      </c>
      <c r="E16" t="s">
        <v>274</v>
      </c>
      <c r="F16" t="s">
        <v>1023</v>
      </c>
      <c r="G16">
        <v>58</v>
      </c>
      <c r="H16" t="s">
        <v>4</v>
      </c>
      <c r="I16" s="3">
        <v>4</v>
      </c>
      <c r="J16" s="2">
        <v>30</v>
      </c>
      <c r="K16" s="2">
        <v>120</v>
      </c>
    </row>
    <row r="17" spans="1:11" x14ac:dyDescent="0.3">
      <c r="A17">
        <v>845</v>
      </c>
      <c r="B17" s="1">
        <v>44932</v>
      </c>
      <c r="C17" s="3">
        <f t="shared" si="0"/>
        <v>2023</v>
      </c>
      <c r="D17" s="3">
        <f t="shared" si="1"/>
        <v>1</v>
      </c>
      <c r="E17" t="s">
        <v>841</v>
      </c>
      <c r="F17" t="s">
        <v>1022</v>
      </c>
      <c r="G17">
        <v>54</v>
      </c>
      <c r="H17" t="s">
        <v>3</v>
      </c>
      <c r="I17" s="3">
        <v>1</v>
      </c>
      <c r="J17" s="2">
        <v>500</v>
      </c>
      <c r="K17" s="2">
        <v>500</v>
      </c>
    </row>
    <row r="18" spans="1:11" x14ac:dyDescent="0.3">
      <c r="A18">
        <v>797</v>
      </c>
      <c r="B18" s="1">
        <v>44933</v>
      </c>
      <c r="C18" s="3">
        <f t="shared" si="0"/>
        <v>2023</v>
      </c>
      <c r="D18" s="3">
        <f t="shared" si="1"/>
        <v>1</v>
      </c>
      <c r="E18" t="s">
        <v>316</v>
      </c>
      <c r="F18" t="s">
        <v>1022</v>
      </c>
      <c r="G18">
        <v>40</v>
      </c>
      <c r="H18" t="s">
        <v>3</v>
      </c>
      <c r="I18" s="3">
        <v>3</v>
      </c>
      <c r="J18" s="2">
        <v>25</v>
      </c>
      <c r="K18" s="2">
        <v>75</v>
      </c>
    </row>
    <row r="19" spans="1:11" x14ac:dyDescent="0.3">
      <c r="A19">
        <v>921</v>
      </c>
      <c r="B19" s="1">
        <v>44933</v>
      </c>
      <c r="C19" s="3">
        <f t="shared" si="0"/>
        <v>2023</v>
      </c>
      <c r="D19" s="3">
        <f t="shared" si="1"/>
        <v>1</v>
      </c>
      <c r="E19" t="s">
        <v>297</v>
      </c>
      <c r="F19" t="s">
        <v>1022</v>
      </c>
      <c r="G19">
        <v>51</v>
      </c>
      <c r="H19" t="s">
        <v>4</v>
      </c>
      <c r="I19" s="3">
        <v>3</v>
      </c>
      <c r="J19" s="2">
        <v>25</v>
      </c>
      <c r="K19" s="2">
        <v>75</v>
      </c>
    </row>
    <row r="20" spans="1:11" x14ac:dyDescent="0.3">
      <c r="A20">
        <v>291</v>
      </c>
      <c r="B20" s="1">
        <v>44934</v>
      </c>
      <c r="C20" s="3">
        <f t="shared" si="0"/>
        <v>2023</v>
      </c>
      <c r="D20" s="3">
        <f t="shared" si="1"/>
        <v>1</v>
      </c>
      <c r="E20" t="s">
        <v>675</v>
      </c>
      <c r="F20" t="s">
        <v>1022</v>
      </c>
      <c r="G20">
        <v>60</v>
      </c>
      <c r="H20" t="s">
        <v>3</v>
      </c>
      <c r="I20" s="3">
        <v>2</v>
      </c>
      <c r="J20" s="2">
        <v>300</v>
      </c>
      <c r="K20" s="2">
        <v>600</v>
      </c>
    </row>
    <row r="21" spans="1:11" x14ac:dyDescent="0.3">
      <c r="A21">
        <v>907</v>
      </c>
      <c r="B21" s="1">
        <v>44934</v>
      </c>
      <c r="C21" s="3">
        <f t="shared" si="0"/>
        <v>2023</v>
      </c>
      <c r="D21" s="3">
        <f t="shared" si="1"/>
        <v>1</v>
      </c>
      <c r="E21" t="s">
        <v>768</v>
      </c>
      <c r="F21" t="s">
        <v>1023</v>
      </c>
      <c r="G21">
        <v>45</v>
      </c>
      <c r="H21" t="s">
        <v>4</v>
      </c>
      <c r="I21" s="3">
        <v>1</v>
      </c>
      <c r="J21" s="2">
        <v>25</v>
      </c>
      <c r="K21" s="2">
        <v>25</v>
      </c>
    </row>
    <row r="22" spans="1:11" x14ac:dyDescent="0.3">
      <c r="A22">
        <v>860</v>
      </c>
      <c r="B22" s="1">
        <v>44935</v>
      </c>
      <c r="C22" s="3">
        <f t="shared" si="0"/>
        <v>2023</v>
      </c>
      <c r="D22" s="3">
        <f t="shared" si="1"/>
        <v>1</v>
      </c>
      <c r="E22" t="s">
        <v>33</v>
      </c>
      <c r="F22" t="s">
        <v>1022</v>
      </c>
      <c r="G22">
        <v>63</v>
      </c>
      <c r="H22" t="s">
        <v>3</v>
      </c>
      <c r="I22" s="3">
        <v>4</v>
      </c>
      <c r="J22" s="2">
        <v>50</v>
      </c>
      <c r="K22" s="2">
        <v>200</v>
      </c>
    </row>
    <row r="23" spans="1:11" x14ac:dyDescent="0.3">
      <c r="A23">
        <v>184</v>
      </c>
      <c r="B23" s="1">
        <v>44936</v>
      </c>
      <c r="C23" s="3">
        <f t="shared" si="0"/>
        <v>2023</v>
      </c>
      <c r="D23" s="3">
        <f t="shared" si="1"/>
        <v>1</v>
      </c>
      <c r="E23" t="s">
        <v>243</v>
      </c>
      <c r="F23" t="s">
        <v>1022</v>
      </c>
      <c r="G23">
        <v>31</v>
      </c>
      <c r="H23" t="s">
        <v>4</v>
      </c>
      <c r="I23" s="3">
        <v>4</v>
      </c>
      <c r="J23" s="2">
        <v>50</v>
      </c>
      <c r="K23" s="2">
        <v>200</v>
      </c>
    </row>
    <row r="24" spans="1:11" x14ac:dyDescent="0.3">
      <c r="A24">
        <v>734</v>
      </c>
      <c r="B24" s="1">
        <v>44936</v>
      </c>
      <c r="C24" s="3">
        <f t="shared" si="0"/>
        <v>2023</v>
      </c>
      <c r="D24" s="3">
        <f t="shared" si="1"/>
        <v>1</v>
      </c>
      <c r="E24" t="s">
        <v>814</v>
      </c>
      <c r="F24" t="s">
        <v>1023</v>
      </c>
      <c r="G24">
        <v>27</v>
      </c>
      <c r="H24" t="s">
        <v>3</v>
      </c>
      <c r="I24" s="3">
        <v>1</v>
      </c>
      <c r="J24" s="2">
        <v>30</v>
      </c>
      <c r="K24" s="2">
        <v>30</v>
      </c>
    </row>
    <row r="25" spans="1:11" x14ac:dyDescent="0.3">
      <c r="A25">
        <v>225</v>
      </c>
      <c r="B25" s="1">
        <v>44937</v>
      </c>
      <c r="C25" s="3">
        <f t="shared" si="0"/>
        <v>2023</v>
      </c>
      <c r="D25" s="3">
        <f t="shared" si="1"/>
        <v>1</v>
      </c>
      <c r="E25" t="s">
        <v>253</v>
      </c>
      <c r="F25" t="s">
        <v>1023</v>
      </c>
      <c r="G25">
        <v>57</v>
      </c>
      <c r="H25" t="s">
        <v>2</v>
      </c>
      <c r="I25" s="3">
        <v>4</v>
      </c>
      <c r="J25" s="2">
        <v>25</v>
      </c>
      <c r="K25" s="2">
        <v>100</v>
      </c>
    </row>
    <row r="26" spans="1:11" x14ac:dyDescent="0.3">
      <c r="A26">
        <v>679</v>
      </c>
      <c r="B26" s="1">
        <v>44937</v>
      </c>
      <c r="C26" s="3">
        <f t="shared" si="0"/>
        <v>2023</v>
      </c>
      <c r="D26" s="3">
        <f t="shared" si="1"/>
        <v>1</v>
      </c>
      <c r="E26" t="s">
        <v>354</v>
      </c>
      <c r="F26" t="s">
        <v>1023</v>
      </c>
      <c r="G26">
        <v>18</v>
      </c>
      <c r="H26" t="s">
        <v>2</v>
      </c>
      <c r="I26" s="3">
        <v>3</v>
      </c>
      <c r="J26" s="2">
        <v>30</v>
      </c>
      <c r="K26" s="2">
        <v>90</v>
      </c>
    </row>
    <row r="27" spans="1:11" x14ac:dyDescent="0.3">
      <c r="A27">
        <v>746</v>
      </c>
      <c r="B27" s="1">
        <v>44937</v>
      </c>
      <c r="C27" s="3">
        <f t="shared" si="0"/>
        <v>2023</v>
      </c>
      <c r="D27" s="3">
        <f t="shared" si="1"/>
        <v>1</v>
      </c>
      <c r="E27" t="s">
        <v>355</v>
      </c>
      <c r="F27" t="s">
        <v>1023</v>
      </c>
      <c r="G27">
        <v>33</v>
      </c>
      <c r="H27" t="s">
        <v>3</v>
      </c>
      <c r="I27" s="3">
        <v>3</v>
      </c>
      <c r="J27" s="2">
        <v>30</v>
      </c>
      <c r="K27" s="2">
        <v>90</v>
      </c>
    </row>
    <row r="28" spans="1:11" x14ac:dyDescent="0.3">
      <c r="A28">
        <v>3</v>
      </c>
      <c r="B28" s="1">
        <v>44939</v>
      </c>
      <c r="C28" s="3">
        <f t="shared" si="0"/>
        <v>2023</v>
      </c>
      <c r="D28" s="3">
        <f t="shared" si="1"/>
        <v>1</v>
      </c>
      <c r="E28" t="s">
        <v>939</v>
      </c>
      <c r="F28" t="s">
        <v>1022</v>
      </c>
      <c r="G28">
        <v>50</v>
      </c>
      <c r="H28" t="s">
        <v>4</v>
      </c>
      <c r="I28" s="3">
        <v>1</v>
      </c>
      <c r="J28" s="2">
        <v>30</v>
      </c>
      <c r="K28" s="2">
        <v>30</v>
      </c>
    </row>
    <row r="29" spans="1:11" x14ac:dyDescent="0.3">
      <c r="A29">
        <v>464</v>
      </c>
      <c r="B29" s="1">
        <v>44939</v>
      </c>
      <c r="C29" s="3">
        <f t="shared" si="0"/>
        <v>2023</v>
      </c>
      <c r="D29" s="3">
        <f t="shared" si="1"/>
        <v>1</v>
      </c>
      <c r="E29" t="s">
        <v>600</v>
      </c>
      <c r="F29" t="s">
        <v>1022</v>
      </c>
      <c r="G29">
        <v>38</v>
      </c>
      <c r="H29" t="s">
        <v>4</v>
      </c>
      <c r="I29" s="3">
        <v>2</v>
      </c>
      <c r="J29" s="2">
        <v>300</v>
      </c>
      <c r="K29" s="2">
        <v>600</v>
      </c>
    </row>
    <row r="30" spans="1:11" x14ac:dyDescent="0.3">
      <c r="A30">
        <v>484</v>
      </c>
      <c r="B30" s="1">
        <v>44939</v>
      </c>
      <c r="C30" s="3">
        <f t="shared" si="0"/>
        <v>2023</v>
      </c>
      <c r="D30" s="3">
        <f t="shared" si="1"/>
        <v>1</v>
      </c>
      <c r="E30" t="s">
        <v>163</v>
      </c>
      <c r="F30" t="s">
        <v>1023</v>
      </c>
      <c r="G30">
        <v>19</v>
      </c>
      <c r="H30" t="s">
        <v>3</v>
      </c>
      <c r="I30" s="3">
        <v>4</v>
      </c>
      <c r="J30" s="2">
        <v>300</v>
      </c>
      <c r="K30" s="2">
        <v>1200</v>
      </c>
    </row>
    <row r="31" spans="1:11" x14ac:dyDescent="0.3">
      <c r="A31">
        <v>591</v>
      </c>
      <c r="B31" s="1">
        <v>44939</v>
      </c>
      <c r="C31" s="3">
        <f t="shared" si="0"/>
        <v>2023</v>
      </c>
      <c r="D31" s="3">
        <f t="shared" si="1"/>
        <v>1</v>
      </c>
      <c r="E31" t="s">
        <v>116</v>
      </c>
      <c r="F31" t="s">
        <v>1022</v>
      </c>
      <c r="G31">
        <v>53</v>
      </c>
      <c r="H31" t="s">
        <v>4</v>
      </c>
      <c r="I31" s="3">
        <v>4</v>
      </c>
      <c r="J31" s="2">
        <v>25</v>
      </c>
      <c r="K31" s="2">
        <v>100</v>
      </c>
    </row>
    <row r="32" spans="1:11" x14ac:dyDescent="0.3">
      <c r="A32">
        <v>21</v>
      </c>
      <c r="B32" s="1">
        <v>44940</v>
      </c>
      <c r="C32" s="3">
        <f t="shared" si="0"/>
        <v>2023</v>
      </c>
      <c r="D32" s="3">
        <f t="shared" si="1"/>
        <v>1</v>
      </c>
      <c r="E32" t="s">
        <v>995</v>
      </c>
      <c r="F32" t="s">
        <v>1023</v>
      </c>
      <c r="G32">
        <v>50</v>
      </c>
      <c r="H32" t="s">
        <v>2</v>
      </c>
      <c r="I32" s="3">
        <v>1</v>
      </c>
      <c r="J32" s="2">
        <v>500</v>
      </c>
      <c r="K32" s="2">
        <v>500</v>
      </c>
    </row>
    <row r="33" spans="1:11" x14ac:dyDescent="0.3">
      <c r="A33">
        <v>708</v>
      </c>
      <c r="B33" s="1">
        <v>44940</v>
      </c>
      <c r="C33" s="3">
        <f t="shared" si="0"/>
        <v>2023</v>
      </c>
      <c r="D33" s="3">
        <f t="shared" si="1"/>
        <v>1</v>
      </c>
      <c r="E33" t="s">
        <v>332</v>
      </c>
      <c r="F33" t="s">
        <v>1023</v>
      </c>
      <c r="G33">
        <v>43</v>
      </c>
      <c r="H33" t="s">
        <v>2</v>
      </c>
      <c r="I33" s="3">
        <v>3</v>
      </c>
      <c r="J33" s="2">
        <v>300</v>
      </c>
      <c r="K33" s="2">
        <v>900</v>
      </c>
    </row>
    <row r="34" spans="1:11" x14ac:dyDescent="0.3">
      <c r="A34">
        <v>713</v>
      </c>
      <c r="B34" s="1">
        <v>44940</v>
      </c>
      <c r="C34" s="3">
        <f t="shared" si="0"/>
        <v>2023</v>
      </c>
      <c r="D34" s="3">
        <f t="shared" si="1"/>
        <v>1</v>
      </c>
      <c r="E34" t="s">
        <v>346</v>
      </c>
      <c r="F34" t="s">
        <v>1022</v>
      </c>
      <c r="G34">
        <v>34</v>
      </c>
      <c r="H34" t="s">
        <v>2</v>
      </c>
      <c r="I34" s="3">
        <v>3</v>
      </c>
      <c r="J34" s="2">
        <v>25</v>
      </c>
      <c r="K34" s="2">
        <v>75</v>
      </c>
    </row>
    <row r="35" spans="1:11" x14ac:dyDescent="0.3">
      <c r="A35">
        <v>768</v>
      </c>
      <c r="B35" s="1">
        <v>44940</v>
      </c>
      <c r="C35" s="3">
        <f t="shared" si="0"/>
        <v>2023</v>
      </c>
      <c r="D35" s="3">
        <f t="shared" si="1"/>
        <v>1</v>
      </c>
      <c r="E35" t="s">
        <v>302</v>
      </c>
      <c r="F35" t="s">
        <v>1023</v>
      </c>
      <c r="G35">
        <v>24</v>
      </c>
      <c r="H35" t="s">
        <v>2</v>
      </c>
      <c r="I35" s="3">
        <v>3</v>
      </c>
      <c r="J35" s="2">
        <v>25</v>
      </c>
      <c r="K35" s="2">
        <v>75</v>
      </c>
    </row>
    <row r="36" spans="1:11" x14ac:dyDescent="0.3">
      <c r="A36">
        <v>499</v>
      </c>
      <c r="B36" s="1">
        <v>44941</v>
      </c>
      <c r="C36" s="3">
        <f t="shared" si="0"/>
        <v>2023</v>
      </c>
      <c r="D36" s="3">
        <f t="shared" si="1"/>
        <v>1</v>
      </c>
      <c r="E36" t="s">
        <v>627</v>
      </c>
      <c r="F36" t="s">
        <v>1022</v>
      </c>
      <c r="G36">
        <v>46</v>
      </c>
      <c r="H36" t="s">
        <v>2</v>
      </c>
      <c r="I36" s="3">
        <v>2</v>
      </c>
      <c r="J36" s="2">
        <v>30</v>
      </c>
      <c r="K36" s="2">
        <v>60</v>
      </c>
    </row>
    <row r="37" spans="1:11" x14ac:dyDescent="0.3">
      <c r="A37">
        <v>697</v>
      </c>
      <c r="B37" s="1">
        <v>44941</v>
      </c>
      <c r="C37" s="3">
        <f t="shared" si="0"/>
        <v>2023</v>
      </c>
      <c r="D37" s="3">
        <f t="shared" si="1"/>
        <v>1</v>
      </c>
      <c r="E37" t="s">
        <v>782</v>
      </c>
      <c r="F37" t="s">
        <v>1022</v>
      </c>
      <c r="G37">
        <v>53</v>
      </c>
      <c r="H37" t="s">
        <v>3</v>
      </c>
      <c r="I37" s="3">
        <v>1</v>
      </c>
      <c r="J37" s="2">
        <v>500</v>
      </c>
      <c r="K37" s="2">
        <v>500</v>
      </c>
    </row>
    <row r="38" spans="1:11" x14ac:dyDescent="0.3">
      <c r="A38">
        <v>831</v>
      </c>
      <c r="B38" s="1">
        <v>44941</v>
      </c>
      <c r="C38" s="3">
        <f t="shared" si="0"/>
        <v>2023</v>
      </c>
      <c r="D38" s="3">
        <f t="shared" si="1"/>
        <v>1</v>
      </c>
      <c r="E38" t="s">
        <v>65</v>
      </c>
      <c r="F38" t="s">
        <v>1022</v>
      </c>
      <c r="G38">
        <v>27</v>
      </c>
      <c r="H38" t="s">
        <v>4</v>
      </c>
      <c r="I38" s="3">
        <v>4</v>
      </c>
      <c r="J38" s="2">
        <v>25</v>
      </c>
      <c r="K38" s="2">
        <v>100</v>
      </c>
    </row>
    <row r="39" spans="1:11" x14ac:dyDescent="0.3">
      <c r="A39">
        <v>15</v>
      </c>
      <c r="B39" s="1">
        <v>44942</v>
      </c>
      <c r="C39" s="3">
        <f t="shared" si="0"/>
        <v>2023</v>
      </c>
      <c r="D39" s="3">
        <f t="shared" si="1"/>
        <v>1</v>
      </c>
      <c r="E39" t="s">
        <v>204</v>
      </c>
      <c r="F39" t="s">
        <v>1023</v>
      </c>
      <c r="G39">
        <v>42</v>
      </c>
      <c r="H39" t="s">
        <v>4</v>
      </c>
      <c r="I39" s="3">
        <v>4</v>
      </c>
      <c r="J39" s="2">
        <v>500</v>
      </c>
      <c r="K39" s="2">
        <v>2000</v>
      </c>
    </row>
    <row r="40" spans="1:11" x14ac:dyDescent="0.3">
      <c r="A40">
        <v>743</v>
      </c>
      <c r="B40" s="1">
        <v>44942</v>
      </c>
      <c r="C40" s="3">
        <f t="shared" si="0"/>
        <v>2023</v>
      </c>
      <c r="D40" s="3">
        <f t="shared" si="1"/>
        <v>1</v>
      </c>
      <c r="E40" t="s">
        <v>64</v>
      </c>
      <c r="F40" t="s">
        <v>1023</v>
      </c>
      <c r="G40">
        <v>34</v>
      </c>
      <c r="H40" t="s">
        <v>2</v>
      </c>
      <c r="I40" s="3">
        <v>4</v>
      </c>
      <c r="J40" s="2">
        <v>500</v>
      </c>
      <c r="K40" s="2">
        <v>2000</v>
      </c>
    </row>
    <row r="41" spans="1:11" x14ac:dyDescent="0.3">
      <c r="A41">
        <v>14</v>
      </c>
      <c r="B41" s="1">
        <v>44943</v>
      </c>
      <c r="C41" s="3">
        <f t="shared" si="0"/>
        <v>2023</v>
      </c>
      <c r="D41" s="3">
        <f t="shared" si="1"/>
        <v>1</v>
      </c>
      <c r="E41" t="s">
        <v>202</v>
      </c>
      <c r="F41" t="s">
        <v>1022</v>
      </c>
      <c r="G41">
        <v>64</v>
      </c>
      <c r="H41" t="s">
        <v>3</v>
      </c>
      <c r="I41" s="3">
        <v>4</v>
      </c>
      <c r="J41" s="2">
        <v>30</v>
      </c>
      <c r="K41" s="2">
        <v>120</v>
      </c>
    </row>
    <row r="42" spans="1:11" x14ac:dyDescent="0.3">
      <c r="A42">
        <v>103</v>
      </c>
      <c r="B42" s="1">
        <v>44943</v>
      </c>
      <c r="C42" s="3">
        <f t="shared" si="0"/>
        <v>2023</v>
      </c>
      <c r="D42" s="3">
        <f t="shared" si="1"/>
        <v>1</v>
      </c>
      <c r="E42" t="s">
        <v>969</v>
      </c>
      <c r="F42" t="s">
        <v>1023</v>
      </c>
      <c r="G42">
        <v>59</v>
      </c>
      <c r="H42" t="s">
        <v>3</v>
      </c>
      <c r="I42" s="3">
        <v>1</v>
      </c>
      <c r="J42" s="2">
        <v>25</v>
      </c>
      <c r="K42" s="2">
        <v>25</v>
      </c>
    </row>
    <row r="43" spans="1:11" x14ac:dyDescent="0.3">
      <c r="A43">
        <v>238</v>
      </c>
      <c r="B43" s="1">
        <v>44943</v>
      </c>
      <c r="C43" s="3">
        <f t="shared" si="0"/>
        <v>2023</v>
      </c>
      <c r="D43" s="3">
        <f t="shared" si="1"/>
        <v>1</v>
      </c>
      <c r="E43" t="s">
        <v>978</v>
      </c>
      <c r="F43" t="s">
        <v>1023</v>
      </c>
      <c r="G43">
        <v>39</v>
      </c>
      <c r="H43" t="s">
        <v>2</v>
      </c>
      <c r="I43" s="3">
        <v>1</v>
      </c>
      <c r="J43" s="2">
        <v>500</v>
      </c>
      <c r="K43" s="2">
        <v>500</v>
      </c>
    </row>
    <row r="44" spans="1:11" x14ac:dyDescent="0.3">
      <c r="A44">
        <v>986</v>
      </c>
      <c r="B44" s="1">
        <v>44943</v>
      </c>
      <c r="C44" s="3">
        <f t="shared" si="0"/>
        <v>2023</v>
      </c>
      <c r="D44" s="3">
        <f t="shared" si="1"/>
        <v>1</v>
      </c>
      <c r="E44" t="s">
        <v>589</v>
      </c>
      <c r="F44" t="s">
        <v>1023</v>
      </c>
      <c r="G44">
        <v>49</v>
      </c>
      <c r="H44" t="s">
        <v>3</v>
      </c>
      <c r="I44" s="3">
        <v>2</v>
      </c>
      <c r="J44" s="2">
        <v>500</v>
      </c>
      <c r="K44" s="2">
        <v>1000</v>
      </c>
    </row>
    <row r="45" spans="1:11" x14ac:dyDescent="0.3">
      <c r="A45">
        <v>438</v>
      </c>
      <c r="B45" s="1">
        <v>44945</v>
      </c>
      <c r="C45" s="3">
        <f t="shared" si="0"/>
        <v>2023</v>
      </c>
      <c r="D45" s="3">
        <f t="shared" si="1"/>
        <v>1</v>
      </c>
      <c r="E45" t="s">
        <v>933</v>
      </c>
      <c r="F45" t="s">
        <v>1023</v>
      </c>
      <c r="G45">
        <v>42</v>
      </c>
      <c r="H45" t="s">
        <v>3</v>
      </c>
      <c r="I45" s="3">
        <v>1</v>
      </c>
      <c r="J45" s="2">
        <v>30</v>
      </c>
      <c r="K45" s="2">
        <v>30</v>
      </c>
    </row>
    <row r="46" spans="1:11" x14ac:dyDescent="0.3">
      <c r="A46">
        <v>475</v>
      </c>
      <c r="B46" s="1">
        <v>44946</v>
      </c>
      <c r="C46" s="3">
        <f t="shared" si="0"/>
        <v>2023</v>
      </c>
      <c r="D46" s="3">
        <f t="shared" si="1"/>
        <v>1</v>
      </c>
      <c r="E46" t="s">
        <v>394</v>
      </c>
      <c r="F46" t="s">
        <v>1022</v>
      </c>
      <c r="G46">
        <v>26</v>
      </c>
      <c r="H46" t="s">
        <v>3</v>
      </c>
      <c r="I46" s="3">
        <v>3</v>
      </c>
      <c r="J46" s="2">
        <v>25</v>
      </c>
      <c r="K46" s="2">
        <v>75</v>
      </c>
    </row>
    <row r="47" spans="1:11" x14ac:dyDescent="0.3">
      <c r="A47">
        <v>505</v>
      </c>
      <c r="B47" s="1">
        <v>44946</v>
      </c>
      <c r="C47" s="3">
        <f t="shared" si="0"/>
        <v>2023</v>
      </c>
      <c r="D47" s="3">
        <f t="shared" si="1"/>
        <v>1</v>
      </c>
      <c r="E47" t="s">
        <v>862</v>
      </c>
      <c r="F47" t="s">
        <v>1022</v>
      </c>
      <c r="G47">
        <v>24</v>
      </c>
      <c r="H47" t="s">
        <v>2</v>
      </c>
      <c r="I47" s="3">
        <v>1</v>
      </c>
      <c r="J47" s="2">
        <v>50</v>
      </c>
      <c r="K47" s="2">
        <v>50</v>
      </c>
    </row>
    <row r="48" spans="1:11" x14ac:dyDescent="0.3">
      <c r="A48">
        <v>344</v>
      </c>
      <c r="B48" s="1">
        <v>44947</v>
      </c>
      <c r="C48" s="3">
        <f t="shared" si="0"/>
        <v>2023</v>
      </c>
      <c r="D48" s="3">
        <f t="shared" si="1"/>
        <v>1</v>
      </c>
      <c r="E48" t="s">
        <v>882</v>
      </c>
      <c r="F48" t="s">
        <v>1023</v>
      </c>
      <c r="G48">
        <v>42</v>
      </c>
      <c r="H48" t="s">
        <v>2</v>
      </c>
      <c r="I48" s="3">
        <v>1</v>
      </c>
      <c r="J48" s="2">
        <v>30</v>
      </c>
      <c r="K48" s="2">
        <v>30</v>
      </c>
    </row>
    <row r="49" spans="1:11" x14ac:dyDescent="0.3">
      <c r="A49">
        <v>448</v>
      </c>
      <c r="B49" s="1">
        <v>44947</v>
      </c>
      <c r="C49" s="3">
        <f t="shared" si="0"/>
        <v>2023</v>
      </c>
      <c r="D49" s="3">
        <f t="shared" si="1"/>
        <v>1</v>
      </c>
      <c r="E49" t="s">
        <v>638</v>
      </c>
      <c r="F49" t="s">
        <v>1023</v>
      </c>
      <c r="G49">
        <v>54</v>
      </c>
      <c r="H49" t="s">
        <v>2</v>
      </c>
      <c r="I49" s="3">
        <v>2</v>
      </c>
      <c r="J49" s="2">
        <v>30</v>
      </c>
      <c r="K49" s="2">
        <v>60</v>
      </c>
    </row>
    <row r="50" spans="1:11" x14ac:dyDescent="0.3">
      <c r="A50">
        <v>742</v>
      </c>
      <c r="B50" s="1">
        <v>44947</v>
      </c>
      <c r="C50" s="3">
        <f t="shared" si="0"/>
        <v>2023</v>
      </c>
      <c r="D50" s="3">
        <f t="shared" si="1"/>
        <v>1</v>
      </c>
      <c r="E50" t="s">
        <v>62</v>
      </c>
      <c r="F50" t="s">
        <v>1023</v>
      </c>
      <c r="G50">
        <v>38</v>
      </c>
      <c r="H50" t="s">
        <v>4</v>
      </c>
      <c r="I50" s="3">
        <v>4</v>
      </c>
      <c r="J50" s="2">
        <v>500</v>
      </c>
      <c r="K50" s="2">
        <v>2000</v>
      </c>
    </row>
    <row r="51" spans="1:11" x14ac:dyDescent="0.3">
      <c r="A51">
        <v>445</v>
      </c>
      <c r="B51" s="1">
        <v>44948</v>
      </c>
      <c r="C51" s="3">
        <f t="shared" si="0"/>
        <v>2023</v>
      </c>
      <c r="D51" s="3">
        <f t="shared" si="1"/>
        <v>1</v>
      </c>
      <c r="E51" t="s">
        <v>894</v>
      </c>
      <c r="F51" t="s">
        <v>1023</v>
      </c>
      <c r="G51">
        <v>53</v>
      </c>
      <c r="H51" t="s">
        <v>4</v>
      </c>
      <c r="I51" s="3">
        <v>1</v>
      </c>
      <c r="J51" s="2">
        <v>300</v>
      </c>
      <c r="K51" s="2">
        <v>300</v>
      </c>
    </row>
    <row r="52" spans="1:11" x14ac:dyDescent="0.3">
      <c r="A52">
        <v>787</v>
      </c>
      <c r="B52" s="1">
        <v>44948</v>
      </c>
      <c r="C52" s="3">
        <f t="shared" si="0"/>
        <v>2023</v>
      </c>
      <c r="D52" s="3">
        <f t="shared" si="1"/>
        <v>1</v>
      </c>
      <c r="E52" t="s">
        <v>797</v>
      </c>
      <c r="F52" t="s">
        <v>1022</v>
      </c>
      <c r="G52">
        <v>41</v>
      </c>
      <c r="H52" t="s">
        <v>4</v>
      </c>
      <c r="I52" s="3">
        <v>1</v>
      </c>
      <c r="J52" s="2">
        <v>25</v>
      </c>
      <c r="K52" s="2">
        <v>25</v>
      </c>
    </row>
    <row r="53" spans="1:11" x14ac:dyDescent="0.3">
      <c r="A53">
        <v>49</v>
      </c>
      <c r="B53" s="1">
        <v>44949</v>
      </c>
      <c r="C53" s="3">
        <f t="shared" si="0"/>
        <v>2023</v>
      </c>
      <c r="D53" s="3">
        <f t="shared" si="1"/>
        <v>1</v>
      </c>
      <c r="E53" t="s">
        <v>694</v>
      </c>
      <c r="F53" t="s">
        <v>1023</v>
      </c>
      <c r="G53">
        <v>54</v>
      </c>
      <c r="H53" t="s">
        <v>4</v>
      </c>
      <c r="I53" s="3">
        <v>2</v>
      </c>
      <c r="J53" s="2">
        <v>500</v>
      </c>
      <c r="K53" s="2">
        <v>1000</v>
      </c>
    </row>
    <row r="54" spans="1:11" x14ac:dyDescent="0.3">
      <c r="A54">
        <v>420</v>
      </c>
      <c r="B54" s="1">
        <v>44949</v>
      </c>
      <c r="C54" s="3">
        <f t="shared" si="0"/>
        <v>2023</v>
      </c>
      <c r="D54" s="3">
        <f t="shared" si="1"/>
        <v>1</v>
      </c>
      <c r="E54" t="s">
        <v>117</v>
      </c>
      <c r="F54" t="s">
        <v>1023</v>
      </c>
      <c r="G54">
        <v>22</v>
      </c>
      <c r="H54" t="s">
        <v>3</v>
      </c>
      <c r="I54" s="3">
        <v>4</v>
      </c>
      <c r="J54" s="2">
        <v>500</v>
      </c>
      <c r="K54" s="2">
        <v>2000</v>
      </c>
    </row>
    <row r="55" spans="1:11" x14ac:dyDescent="0.3">
      <c r="A55">
        <v>519</v>
      </c>
      <c r="B55" s="1">
        <v>44949</v>
      </c>
      <c r="C55" s="3">
        <f t="shared" si="0"/>
        <v>2023</v>
      </c>
      <c r="D55" s="3">
        <f t="shared" si="1"/>
        <v>1</v>
      </c>
      <c r="E55" t="s">
        <v>188</v>
      </c>
      <c r="F55" t="s">
        <v>1023</v>
      </c>
      <c r="G55">
        <v>36</v>
      </c>
      <c r="H55" t="s">
        <v>4</v>
      </c>
      <c r="I55" s="3">
        <v>4</v>
      </c>
      <c r="J55" s="2">
        <v>30</v>
      </c>
      <c r="K55" s="2">
        <v>120</v>
      </c>
    </row>
    <row r="56" spans="1:11" x14ac:dyDescent="0.3">
      <c r="A56">
        <v>64</v>
      </c>
      <c r="B56" s="1">
        <v>44950</v>
      </c>
      <c r="C56" s="3">
        <f t="shared" si="0"/>
        <v>2023</v>
      </c>
      <c r="D56" s="3">
        <f t="shared" si="1"/>
        <v>1</v>
      </c>
      <c r="E56" t="s">
        <v>224</v>
      </c>
      <c r="F56" t="s">
        <v>1022</v>
      </c>
      <c r="G56">
        <v>49</v>
      </c>
      <c r="H56" t="s">
        <v>3</v>
      </c>
      <c r="I56" s="3">
        <v>4</v>
      </c>
      <c r="J56" s="2">
        <v>25</v>
      </c>
      <c r="K56" s="2">
        <v>100</v>
      </c>
    </row>
    <row r="57" spans="1:11" x14ac:dyDescent="0.3">
      <c r="A57">
        <v>592</v>
      </c>
      <c r="B57" s="1">
        <v>44950</v>
      </c>
      <c r="C57" s="3">
        <f t="shared" si="0"/>
        <v>2023</v>
      </c>
      <c r="D57" s="3">
        <f t="shared" si="1"/>
        <v>1</v>
      </c>
      <c r="E57" t="s">
        <v>162</v>
      </c>
      <c r="F57" t="s">
        <v>1023</v>
      </c>
      <c r="G57">
        <v>46</v>
      </c>
      <c r="H57" t="s">
        <v>2</v>
      </c>
      <c r="I57" s="3">
        <v>4</v>
      </c>
      <c r="J57" s="2">
        <v>500</v>
      </c>
      <c r="K57" s="2">
        <v>2000</v>
      </c>
    </row>
    <row r="58" spans="1:11" x14ac:dyDescent="0.3">
      <c r="A58">
        <v>912</v>
      </c>
      <c r="B58" s="1">
        <v>44950</v>
      </c>
      <c r="C58" s="3">
        <f t="shared" si="0"/>
        <v>2023</v>
      </c>
      <c r="D58" s="3">
        <f t="shared" si="1"/>
        <v>1</v>
      </c>
      <c r="E58" t="s">
        <v>337</v>
      </c>
      <c r="F58" t="s">
        <v>1022</v>
      </c>
      <c r="G58">
        <v>51</v>
      </c>
      <c r="H58" t="s">
        <v>2</v>
      </c>
      <c r="I58" s="3">
        <v>3</v>
      </c>
      <c r="J58" s="2">
        <v>50</v>
      </c>
      <c r="K58" s="2">
        <v>150</v>
      </c>
    </row>
    <row r="59" spans="1:11" x14ac:dyDescent="0.3">
      <c r="A59">
        <v>134</v>
      </c>
      <c r="B59" s="1">
        <v>44951</v>
      </c>
      <c r="C59" s="3">
        <f t="shared" si="0"/>
        <v>2023</v>
      </c>
      <c r="D59" s="3">
        <f t="shared" si="1"/>
        <v>1</v>
      </c>
      <c r="E59" t="s">
        <v>1002</v>
      </c>
      <c r="F59" t="s">
        <v>1022</v>
      </c>
      <c r="G59">
        <v>49</v>
      </c>
      <c r="H59" t="s">
        <v>4</v>
      </c>
      <c r="I59" s="3">
        <v>1</v>
      </c>
      <c r="J59" s="2">
        <v>50</v>
      </c>
      <c r="K59" s="2">
        <v>50</v>
      </c>
    </row>
    <row r="60" spans="1:11" x14ac:dyDescent="0.3">
      <c r="A60">
        <v>288</v>
      </c>
      <c r="B60" s="1">
        <v>44952</v>
      </c>
      <c r="C60" s="3">
        <f t="shared" si="0"/>
        <v>2023</v>
      </c>
      <c r="D60" s="3">
        <f t="shared" si="1"/>
        <v>1</v>
      </c>
      <c r="E60" t="s">
        <v>211</v>
      </c>
      <c r="F60" t="s">
        <v>1022</v>
      </c>
      <c r="G60">
        <v>28</v>
      </c>
      <c r="H60" t="s">
        <v>3</v>
      </c>
      <c r="I60" s="3">
        <v>4</v>
      </c>
      <c r="J60" s="2">
        <v>30</v>
      </c>
      <c r="K60" s="2">
        <v>120</v>
      </c>
    </row>
    <row r="61" spans="1:11" x14ac:dyDescent="0.3">
      <c r="A61">
        <v>323</v>
      </c>
      <c r="B61" s="1">
        <v>44952</v>
      </c>
      <c r="C61" s="3">
        <f t="shared" si="0"/>
        <v>2023</v>
      </c>
      <c r="D61" s="3">
        <f t="shared" si="1"/>
        <v>1</v>
      </c>
      <c r="E61" t="s">
        <v>516</v>
      </c>
      <c r="F61" t="s">
        <v>1023</v>
      </c>
      <c r="G61">
        <v>29</v>
      </c>
      <c r="H61" t="s">
        <v>2</v>
      </c>
      <c r="I61" s="3">
        <v>3</v>
      </c>
      <c r="J61" s="2">
        <v>300</v>
      </c>
      <c r="K61" s="2">
        <v>900</v>
      </c>
    </row>
    <row r="62" spans="1:11" x14ac:dyDescent="0.3">
      <c r="A62">
        <v>618</v>
      </c>
      <c r="B62" s="1">
        <v>44952</v>
      </c>
      <c r="C62" s="3">
        <f t="shared" si="0"/>
        <v>2023</v>
      </c>
      <c r="D62" s="3">
        <f t="shared" si="1"/>
        <v>1</v>
      </c>
      <c r="E62" t="s">
        <v>911</v>
      </c>
      <c r="F62" t="s">
        <v>1023</v>
      </c>
      <c r="G62">
        <v>27</v>
      </c>
      <c r="H62" t="s">
        <v>2</v>
      </c>
      <c r="I62" s="3">
        <v>1</v>
      </c>
      <c r="J62" s="2">
        <v>50</v>
      </c>
      <c r="K62" s="2">
        <v>50</v>
      </c>
    </row>
    <row r="63" spans="1:11" x14ac:dyDescent="0.3">
      <c r="A63">
        <v>720</v>
      </c>
      <c r="B63" s="1">
        <v>44952</v>
      </c>
      <c r="C63" s="3">
        <f t="shared" si="0"/>
        <v>2023</v>
      </c>
      <c r="D63" s="3">
        <f t="shared" si="1"/>
        <v>1</v>
      </c>
      <c r="E63" t="s">
        <v>303</v>
      </c>
      <c r="F63" t="s">
        <v>1023</v>
      </c>
      <c r="G63">
        <v>56</v>
      </c>
      <c r="H63" t="s">
        <v>2</v>
      </c>
      <c r="I63" s="3">
        <v>3</v>
      </c>
      <c r="J63" s="2">
        <v>500</v>
      </c>
      <c r="K63" s="2">
        <v>1500</v>
      </c>
    </row>
    <row r="64" spans="1:11" x14ac:dyDescent="0.3">
      <c r="A64">
        <v>415</v>
      </c>
      <c r="B64" s="1">
        <v>44953</v>
      </c>
      <c r="C64" s="3">
        <f t="shared" si="0"/>
        <v>2023</v>
      </c>
      <c r="D64" s="3">
        <f t="shared" si="1"/>
        <v>1</v>
      </c>
      <c r="E64" t="s">
        <v>623</v>
      </c>
      <c r="F64" t="s">
        <v>1022</v>
      </c>
      <c r="G64">
        <v>53</v>
      </c>
      <c r="H64" t="s">
        <v>3</v>
      </c>
      <c r="I64" s="3">
        <v>2</v>
      </c>
      <c r="J64" s="2">
        <v>30</v>
      </c>
      <c r="K64" s="2">
        <v>60</v>
      </c>
    </row>
    <row r="65" spans="1:11" x14ac:dyDescent="0.3">
      <c r="A65">
        <v>736</v>
      </c>
      <c r="B65" s="1">
        <v>44953</v>
      </c>
      <c r="C65" s="3">
        <f t="shared" si="0"/>
        <v>2023</v>
      </c>
      <c r="D65" s="3">
        <f t="shared" si="1"/>
        <v>1</v>
      </c>
      <c r="E65" t="s">
        <v>58</v>
      </c>
      <c r="F65" t="s">
        <v>1022</v>
      </c>
      <c r="G65">
        <v>29</v>
      </c>
      <c r="H65" t="s">
        <v>3</v>
      </c>
      <c r="I65" s="3">
        <v>4</v>
      </c>
      <c r="J65" s="2">
        <v>25</v>
      </c>
      <c r="K65" s="2">
        <v>100</v>
      </c>
    </row>
    <row r="66" spans="1:11" x14ac:dyDescent="0.3">
      <c r="A66">
        <v>929</v>
      </c>
      <c r="B66" s="1">
        <v>44953</v>
      </c>
      <c r="C66" s="3">
        <f t="shared" ref="C66:C129" si="2">YEAR(B66)</f>
        <v>2023</v>
      </c>
      <c r="D66" s="3">
        <f t="shared" ref="D66:D129" si="3">MONTH(B66)</f>
        <v>1</v>
      </c>
      <c r="E66" t="s">
        <v>313</v>
      </c>
      <c r="F66" t="s">
        <v>1023</v>
      </c>
      <c r="G66">
        <v>23</v>
      </c>
      <c r="H66" t="s">
        <v>2</v>
      </c>
      <c r="I66" s="3">
        <v>3</v>
      </c>
      <c r="J66" s="2">
        <v>25</v>
      </c>
      <c r="K66" s="2">
        <v>75</v>
      </c>
    </row>
    <row r="67" spans="1:11" x14ac:dyDescent="0.3">
      <c r="A67">
        <v>264</v>
      </c>
      <c r="B67" s="1">
        <v>44954</v>
      </c>
      <c r="C67" s="3">
        <f t="shared" si="2"/>
        <v>2023</v>
      </c>
      <c r="D67" s="3">
        <f t="shared" si="3"/>
        <v>1</v>
      </c>
      <c r="E67" t="s">
        <v>470</v>
      </c>
      <c r="F67" t="s">
        <v>1022</v>
      </c>
      <c r="G67">
        <v>47</v>
      </c>
      <c r="H67" t="s">
        <v>3</v>
      </c>
      <c r="I67" s="3">
        <v>3</v>
      </c>
      <c r="J67" s="2">
        <v>300</v>
      </c>
      <c r="K67" s="2">
        <v>900</v>
      </c>
    </row>
    <row r="68" spans="1:11" x14ac:dyDescent="0.3">
      <c r="A68">
        <v>913</v>
      </c>
      <c r="B68" s="1">
        <v>44954</v>
      </c>
      <c r="C68" s="3">
        <f t="shared" si="2"/>
        <v>2023</v>
      </c>
      <c r="D68" s="3">
        <f t="shared" si="3"/>
        <v>1</v>
      </c>
      <c r="E68" t="s">
        <v>289</v>
      </c>
      <c r="F68" t="s">
        <v>1022</v>
      </c>
      <c r="G68">
        <v>29</v>
      </c>
      <c r="H68" t="s">
        <v>4</v>
      </c>
      <c r="I68" s="3">
        <v>3</v>
      </c>
      <c r="J68" s="2">
        <v>30</v>
      </c>
      <c r="K68" s="2">
        <v>90</v>
      </c>
    </row>
    <row r="69" spans="1:11" x14ac:dyDescent="0.3">
      <c r="A69">
        <v>940</v>
      </c>
      <c r="B69" s="1">
        <v>44954</v>
      </c>
      <c r="C69" s="3">
        <f t="shared" si="2"/>
        <v>2023</v>
      </c>
      <c r="D69" s="3">
        <f t="shared" si="3"/>
        <v>1</v>
      </c>
      <c r="E69" t="s">
        <v>834</v>
      </c>
      <c r="F69" t="s">
        <v>1023</v>
      </c>
      <c r="G69">
        <v>20</v>
      </c>
      <c r="H69" t="s">
        <v>4</v>
      </c>
      <c r="I69" s="3">
        <v>1</v>
      </c>
      <c r="J69" s="2">
        <v>30</v>
      </c>
      <c r="K69" s="2">
        <v>30</v>
      </c>
    </row>
    <row r="70" spans="1:11" x14ac:dyDescent="0.3">
      <c r="A70">
        <v>101</v>
      </c>
      <c r="B70" s="1">
        <v>44955</v>
      </c>
      <c r="C70" s="3">
        <f t="shared" si="2"/>
        <v>2023</v>
      </c>
      <c r="D70" s="3">
        <f t="shared" si="3"/>
        <v>1</v>
      </c>
      <c r="E70" t="s">
        <v>724</v>
      </c>
      <c r="F70" t="s">
        <v>1022</v>
      </c>
      <c r="G70">
        <v>32</v>
      </c>
      <c r="H70" t="s">
        <v>3</v>
      </c>
      <c r="I70" s="3">
        <v>2</v>
      </c>
      <c r="J70" s="2">
        <v>300</v>
      </c>
      <c r="K70" s="2">
        <v>600</v>
      </c>
    </row>
    <row r="71" spans="1:11" x14ac:dyDescent="0.3">
      <c r="A71">
        <v>189</v>
      </c>
      <c r="B71" s="1">
        <v>44956</v>
      </c>
      <c r="C71" s="3">
        <f t="shared" si="2"/>
        <v>2023</v>
      </c>
      <c r="D71" s="3">
        <f t="shared" si="3"/>
        <v>1</v>
      </c>
      <c r="E71" t="s">
        <v>965</v>
      </c>
      <c r="F71" t="s">
        <v>1022</v>
      </c>
      <c r="G71">
        <v>63</v>
      </c>
      <c r="H71" t="s">
        <v>2</v>
      </c>
      <c r="I71" s="3">
        <v>1</v>
      </c>
      <c r="J71" s="2">
        <v>50</v>
      </c>
      <c r="K71" s="2">
        <v>50</v>
      </c>
    </row>
    <row r="72" spans="1:11" x14ac:dyDescent="0.3">
      <c r="A72">
        <v>317</v>
      </c>
      <c r="B72" s="1">
        <v>44956</v>
      </c>
      <c r="C72" s="3">
        <f t="shared" si="2"/>
        <v>2023</v>
      </c>
      <c r="D72" s="3">
        <f t="shared" si="3"/>
        <v>1</v>
      </c>
      <c r="E72" t="s">
        <v>514</v>
      </c>
      <c r="F72" t="s">
        <v>1022</v>
      </c>
      <c r="G72">
        <v>22</v>
      </c>
      <c r="H72" t="s">
        <v>4</v>
      </c>
      <c r="I72" s="3">
        <v>3</v>
      </c>
      <c r="J72" s="2">
        <v>30</v>
      </c>
      <c r="K72" s="2">
        <v>90</v>
      </c>
    </row>
    <row r="73" spans="1:11" x14ac:dyDescent="0.3">
      <c r="A73">
        <v>322</v>
      </c>
      <c r="B73" s="1">
        <v>44956</v>
      </c>
      <c r="C73" s="3">
        <f t="shared" si="2"/>
        <v>2023</v>
      </c>
      <c r="D73" s="3">
        <f t="shared" si="3"/>
        <v>1</v>
      </c>
      <c r="E73" t="s">
        <v>964</v>
      </c>
      <c r="F73" t="s">
        <v>1022</v>
      </c>
      <c r="G73">
        <v>51</v>
      </c>
      <c r="H73" t="s">
        <v>4</v>
      </c>
      <c r="I73" s="3">
        <v>1</v>
      </c>
      <c r="J73" s="2">
        <v>500</v>
      </c>
      <c r="K73" s="2">
        <v>500</v>
      </c>
    </row>
    <row r="74" spans="1:11" x14ac:dyDescent="0.3">
      <c r="A74">
        <v>329</v>
      </c>
      <c r="B74" s="1">
        <v>44956</v>
      </c>
      <c r="C74" s="3">
        <f t="shared" si="2"/>
        <v>2023</v>
      </c>
      <c r="D74" s="3">
        <f t="shared" si="3"/>
        <v>1</v>
      </c>
      <c r="E74" t="s">
        <v>279</v>
      </c>
      <c r="F74" t="s">
        <v>1023</v>
      </c>
      <c r="G74">
        <v>46</v>
      </c>
      <c r="H74" t="s">
        <v>4</v>
      </c>
      <c r="I74" s="3">
        <v>4</v>
      </c>
      <c r="J74" s="2">
        <v>25</v>
      </c>
      <c r="K74" s="2">
        <v>100</v>
      </c>
    </row>
    <row r="75" spans="1:11" x14ac:dyDescent="0.3">
      <c r="A75">
        <v>235</v>
      </c>
      <c r="B75" s="1">
        <v>44957</v>
      </c>
      <c r="C75" s="3">
        <f t="shared" si="2"/>
        <v>2023</v>
      </c>
      <c r="D75" s="3">
        <f t="shared" si="3"/>
        <v>1</v>
      </c>
      <c r="E75" t="s">
        <v>750</v>
      </c>
      <c r="F75" t="s">
        <v>1023</v>
      </c>
      <c r="G75">
        <v>23</v>
      </c>
      <c r="H75" t="s">
        <v>4</v>
      </c>
      <c r="I75" s="3">
        <v>2</v>
      </c>
      <c r="J75" s="2">
        <v>500</v>
      </c>
      <c r="K75" s="2">
        <v>1000</v>
      </c>
    </row>
    <row r="76" spans="1:11" x14ac:dyDescent="0.3">
      <c r="A76">
        <v>300</v>
      </c>
      <c r="B76" s="1">
        <v>44957</v>
      </c>
      <c r="C76" s="3">
        <f t="shared" si="2"/>
        <v>2023</v>
      </c>
      <c r="D76" s="3">
        <f t="shared" si="3"/>
        <v>1</v>
      </c>
      <c r="E76" t="s">
        <v>197</v>
      </c>
      <c r="F76" t="s">
        <v>1023</v>
      </c>
      <c r="G76">
        <v>19</v>
      </c>
      <c r="H76" t="s">
        <v>4</v>
      </c>
      <c r="I76" s="3">
        <v>4</v>
      </c>
      <c r="J76" s="2">
        <v>50</v>
      </c>
      <c r="K76" s="2">
        <v>200</v>
      </c>
    </row>
    <row r="77" spans="1:11" x14ac:dyDescent="0.3">
      <c r="A77">
        <v>964</v>
      </c>
      <c r="B77" s="1">
        <v>44957</v>
      </c>
      <c r="C77" s="3">
        <f t="shared" si="2"/>
        <v>2023</v>
      </c>
      <c r="D77" s="3">
        <f t="shared" si="3"/>
        <v>1</v>
      </c>
      <c r="E77" t="s">
        <v>317</v>
      </c>
      <c r="F77" t="s">
        <v>1022</v>
      </c>
      <c r="G77">
        <v>24</v>
      </c>
      <c r="H77" t="s">
        <v>3</v>
      </c>
      <c r="I77" s="3">
        <v>3</v>
      </c>
      <c r="J77" s="2">
        <v>300</v>
      </c>
      <c r="K77" s="2">
        <v>900</v>
      </c>
    </row>
    <row r="78" spans="1:11" x14ac:dyDescent="0.3">
      <c r="A78">
        <v>269</v>
      </c>
      <c r="B78" s="1">
        <v>44958</v>
      </c>
      <c r="C78" s="3">
        <f t="shared" si="2"/>
        <v>2023</v>
      </c>
      <c r="D78" s="3">
        <f t="shared" si="3"/>
        <v>2</v>
      </c>
      <c r="E78" t="s">
        <v>259</v>
      </c>
      <c r="F78" t="s">
        <v>1022</v>
      </c>
      <c r="G78">
        <v>25</v>
      </c>
      <c r="H78" t="s">
        <v>3</v>
      </c>
      <c r="I78" s="3">
        <v>4</v>
      </c>
      <c r="J78" s="2">
        <v>500</v>
      </c>
      <c r="K78" s="2">
        <v>2000</v>
      </c>
    </row>
    <row r="79" spans="1:11" x14ac:dyDescent="0.3">
      <c r="A79">
        <v>320</v>
      </c>
      <c r="B79" s="1">
        <v>44958</v>
      </c>
      <c r="C79" s="3">
        <f t="shared" si="2"/>
        <v>2023</v>
      </c>
      <c r="D79" s="3">
        <f t="shared" si="3"/>
        <v>2</v>
      </c>
      <c r="E79" t="s">
        <v>235</v>
      </c>
      <c r="F79" t="s">
        <v>1023</v>
      </c>
      <c r="G79">
        <v>28</v>
      </c>
      <c r="H79" t="s">
        <v>4</v>
      </c>
      <c r="I79" s="3">
        <v>4</v>
      </c>
      <c r="J79" s="2">
        <v>300</v>
      </c>
      <c r="K79" s="2">
        <v>1200</v>
      </c>
    </row>
    <row r="80" spans="1:11" x14ac:dyDescent="0.3">
      <c r="A80">
        <v>673</v>
      </c>
      <c r="B80" s="1">
        <v>44958</v>
      </c>
      <c r="C80" s="3">
        <f t="shared" si="2"/>
        <v>2023</v>
      </c>
      <c r="D80" s="3">
        <f t="shared" si="3"/>
        <v>2</v>
      </c>
      <c r="E80" t="s">
        <v>292</v>
      </c>
      <c r="F80" t="s">
        <v>1023</v>
      </c>
      <c r="G80">
        <v>43</v>
      </c>
      <c r="H80" t="s">
        <v>3</v>
      </c>
      <c r="I80" s="3">
        <v>3</v>
      </c>
      <c r="J80" s="2">
        <v>500</v>
      </c>
      <c r="K80" s="2">
        <v>1500</v>
      </c>
    </row>
    <row r="81" spans="1:11" x14ac:dyDescent="0.3">
      <c r="A81">
        <v>142</v>
      </c>
      <c r="B81" s="1">
        <v>44959</v>
      </c>
      <c r="C81" s="3">
        <f t="shared" si="2"/>
        <v>2023</v>
      </c>
      <c r="D81" s="3">
        <f t="shared" si="3"/>
        <v>2</v>
      </c>
      <c r="E81" t="s">
        <v>270</v>
      </c>
      <c r="F81" t="s">
        <v>1022</v>
      </c>
      <c r="G81">
        <v>35</v>
      </c>
      <c r="H81" t="s">
        <v>4</v>
      </c>
      <c r="I81" s="3">
        <v>4</v>
      </c>
      <c r="J81" s="2">
        <v>300</v>
      </c>
      <c r="K81" s="2">
        <v>1200</v>
      </c>
    </row>
    <row r="82" spans="1:11" x14ac:dyDescent="0.3">
      <c r="A82">
        <v>223</v>
      </c>
      <c r="B82" s="1">
        <v>44959</v>
      </c>
      <c r="C82" s="3">
        <f t="shared" si="2"/>
        <v>2023</v>
      </c>
      <c r="D82" s="3">
        <f t="shared" si="3"/>
        <v>2</v>
      </c>
      <c r="E82" t="s">
        <v>971</v>
      </c>
      <c r="F82" t="s">
        <v>1023</v>
      </c>
      <c r="G82">
        <v>64</v>
      </c>
      <c r="H82" t="s">
        <v>3</v>
      </c>
      <c r="I82" s="3">
        <v>1</v>
      </c>
      <c r="J82" s="2">
        <v>25</v>
      </c>
      <c r="K82" s="2">
        <v>25</v>
      </c>
    </row>
    <row r="83" spans="1:11" x14ac:dyDescent="0.3">
      <c r="A83">
        <v>666</v>
      </c>
      <c r="B83" s="1">
        <v>44959</v>
      </c>
      <c r="C83" s="3">
        <f t="shared" si="2"/>
        <v>2023</v>
      </c>
      <c r="D83" s="3">
        <f t="shared" si="3"/>
        <v>2</v>
      </c>
      <c r="E83" t="s">
        <v>441</v>
      </c>
      <c r="F83" t="s">
        <v>1022</v>
      </c>
      <c r="G83">
        <v>51</v>
      </c>
      <c r="H83" t="s">
        <v>4</v>
      </c>
      <c r="I83" s="3">
        <v>3</v>
      </c>
      <c r="J83" s="2">
        <v>50</v>
      </c>
      <c r="K83" s="2">
        <v>150</v>
      </c>
    </row>
    <row r="84" spans="1:11" x14ac:dyDescent="0.3">
      <c r="A84">
        <v>107</v>
      </c>
      <c r="B84" s="1">
        <v>44960</v>
      </c>
      <c r="C84" s="3">
        <f t="shared" si="2"/>
        <v>2023</v>
      </c>
      <c r="D84" s="3">
        <f t="shared" si="3"/>
        <v>2</v>
      </c>
      <c r="E84" t="s">
        <v>250</v>
      </c>
      <c r="F84" t="s">
        <v>1023</v>
      </c>
      <c r="G84">
        <v>21</v>
      </c>
      <c r="H84" t="s">
        <v>3</v>
      </c>
      <c r="I84" s="3">
        <v>4</v>
      </c>
      <c r="J84" s="2">
        <v>300</v>
      </c>
      <c r="K84" s="2">
        <v>1200</v>
      </c>
    </row>
    <row r="85" spans="1:11" x14ac:dyDescent="0.3">
      <c r="A85">
        <v>933</v>
      </c>
      <c r="B85" s="1">
        <v>44960</v>
      </c>
      <c r="C85" s="3">
        <f t="shared" si="2"/>
        <v>2023</v>
      </c>
      <c r="D85" s="3">
        <f t="shared" si="3"/>
        <v>2</v>
      </c>
      <c r="E85" t="s">
        <v>820</v>
      </c>
      <c r="F85" t="s">
        <v>1022</v>
      </c>
      <c r="G85">
        <v>22</v>
      </c>
      <c r="H85" t="s">
        <v>2</v>
      </c>
      <c r="I85" s="3">
        <v>1</v>
      </c>
      <c r="J85" s="2">
        <v>30</v>
      </c>
      <c r="K85" s="2">
        <v>30</v>
      </c>
    </row>
    <row r="86" spans="1:11" x14ac:dyDescent="0.3">
      <c r="A86">
        <v>237</v>
      </c>
      <c r="B86" s="1">
        <v>44961</v>
      </c>
      <c r="C86" s="3">
        <f t="shared" si="2"/>
        <v>2023</v>
      </c>
      <c r="D86" s="3">
        <f t="shared" si="3"/>
        <v>2</v>
      </c>
      <c r="E86" t="s">
        <v>752</v>
      </c>
      <c r="F86" t="s">
        <v>1023</v>
      </c>
      <c r="G86">
        <v>50</v>
      </c>
      <c r="H86" t="s">
        <v>2</v>
      </c>
      <c r="I86" s="3">
        <v>2</v>
      </c>
      <c r="J86" s="2">
        <v>500</v>
      </c>
      <c r="K86" s="2">
        <v>1000</v>
      </c>
    </row>
    <row r="87" spans="1:11" x14ac:dyDescent="0.3">
      <c r="A87">
        <v>335</v>
      </c>
      <c r="B87" s="1">
        <v>44961</v>
      </c>
      <c r="C87" s="3">
        <f t="shared" si="2"/>
        <v>2023</v>
      </c>
      <c r="D87" s="3">
        <f t="shared" si="3"/>
        <v>2</v>
      </c>
      <c r="E87" t="s">
        <v>181</v>
      </c>
      <c r="F87" t="s">
        <v>1023</v>
      </c>
      <c r="G87">
        <v>47</v>
      </c>
      <c r="H87" t="s">
        <v>2</v>
      </c>
      <c r="I87" s="3">
        <v>4</v>
      </c>
      <c r="J87" s="2">
        <v>30</v>
      </c>
      <c r="K87" s="2">
        <v>120</v>
      </c>
    </row>
    <row r="88" spans="1:11" x14ac:dyDescent="0.3">
      <c r="A88">
        <v>63</v>
      </c>
      <c r="B88" s="1">
        <v>44962</v>
      </c>
      <c r="C88" s="3">
        <f t="shared" si="2"/>
        <v>2023</v>
      </c>
      <c r="D88" s="3">
        <f t="shared" si="3"/>
        <v>2</v>
      </c>
      <c r="E88" t="s">
        <v>717</v>
      </c>
      <c r="F88" t="s">
        <v>1022</v>
      </c>
      <c r="G88">
        <v>57</v>
      </c>
      <c r="H88" t="s">
        <v>4</v>
      </c>
      <c r="I88" s="3">
        <v>2</v>
      </c>
      <c r="J88" s="2">
        <v>25</v>
      </c>
      <c r="K88" s="2">
        <v>50</v>
      </c>
    </row>
    <row r="89" spans="1:11" x14ac:dyDescent="0.3">
      <c r="A89">
        <v>195</v>
      </c>
      <c r="B89" s="1">
        <v>44962</v>
      </c>
      <c r="C89" s="3">
        <f t="shared" si="2"/>
        <v>2023</v>
      </c>
      <c r="D89" s="3">
        <f t="shared" si="3"/>
        <v>2</v>
      </c>
      <c r="E89" t="s">
        <v>950</v>
      </c>
      <c r="F89" t="s">
        <v>1022</v>
      </c>
      <c r="G89">
        <v>52</v>
      </c>
      <c r="H89" t="s">
        <v>3</v>
      </c>
      <c r="I89" s="3">
        <v>1</v>
      </c>
      <c r="J89" s="2">
        <v>30</v>
      </c>
      <c r="K89" s="2">
        <v>30</v>
      </c>
    </row>
    <row r="90" spans="1:11" x14ac:dyDescent="0.3">
      <c r="A90">
        <v>333</v>
      </c>
      <c r="B90" s="1">
        <v>44962</v>
      </c>
      <c r="C90" s="3">
        <f t="shared" si="2"/>
        <v>2023</v>
      </c>
      <c r="D90" s="3">
        <f t="shared" si="3"/>
        <v>2</v>
      </c>
      <c r="E90" t="s">
        <v>237</v>
      </c>
      <c r="F90" t="s">
        <v>1023</v>
      </c>
      <c r="G90">
        <v>54</v>
      </c>
      <c r="H90" t="s">
        <v>4</v>
      </c>
      <c r="I90" s="3">
        <v>4</v>
      </c>
      <c r="J90" s="2">
        <v>300</v>
      </c>
      <c r="K90" s="2">
        <v>1200</v>
      </c>
    </row>
    <row r="91" spans="1:11" x14ac:dyDescent="0.3">
      <c r="A91">
        <v>379</v>
      </c>
      <c r="B91" s="1">
        <v>44962</v>
      </c>
      <c r="C91" s="3">
        <f t="shared" si="2"/>
        <v>2023</v>
      </c>
      <c r="D91" s="3">
        <f t="shared" si="3"/>
        <v>2</v>
      </c>
      <c r="E91" t="s">
        <v>866</v>
      </c>
      <c r="F91" t="s">
        <v>1023</v>
      </c>
      <c r="G91">
        <v>47</v>
      </c>
      <c r="H91" t="s">
        <v>3</v>
      </c>
      <c r="I91" s="3">
        <v>1</v>
      </c>
      <c r="J91" s="2">
        <v>25</v>
      </c>
      <c r="K91" s="2">
        <v>25</v>
      </c>
    </row>
    <row r="92" spans="1:11" x14ac:dyDescent="0.3">
      <c r="A92">
        <v>490</v>
      </c>
      <c r="B92" s="1">
        <v>44962</v>
      </c>
      <c r="C92" s="3">
        <f t="shared" si="2"/>
        <v>2023</v>
      </c>
      <c r="D92" s="3">
        <f t="shared" si="3"/>
        <v>2</v>
      </c>
      <c r="E92" t="s">
        <v>404</v>
      </c>
      <c r="F92" t="s">
        <v>1022</v>
      </c>
      <c r="G92">
        <v>34</v>
      </c>
      <c r="H92" t="s">
        <v>3</v>
      </c>
      <c r="I92" s="3">
        <v>3</v>
      </c>
      <c r="J92" s="2">
        <v>50</v>
      </c>
      <c r="K92" s="2">
        <v>150</v>
      </c>
    </row>
    <row r="93" spans="1:11" x14ac:dyDescent="0.3">
      <c r="A93">
        <v>530</v>
      </c>
      <c r="B93" s="1">
        <v>44962</v>
      </c>
      <c r="C93" s="3">
        <f t="shared" si="2"/>
        <v>2023</v>
      </c>
      <c r="D93" s="3">
        <f t="shared" si="3"/>
        <v>2</v>
      </c>
      <c r="E93" t="s">
        <v>146</v>
      </c>
      <c r="F93" t="s">
        <v>1023</v>
      </c>
      <c r="G93">
        <v>18</v>
      </c>
      <c r="H93" t="s">
        <v>4</v>
      </c>
      <c r="I93" s="3">
        <v>4</v>
      </c>
      <c r="J93" s="2">
        <v>30</v>
      </c>
      <c r="K93" s="2">
        <v>120</v>
      </c>
    </row>
    <row r="94" spans="1:11" x14ac:dyDescent="0.3">
      <c r="A94">
        <v>740</v>
      </c>
      <c r="B94" s="1">
        <v>44962</v>
      </c>
      <c r="C94" s="3">
        <f t="shared" si="2"/>
        <v>2023</v>
      </c>
      <c r="D94" s="3">
        <f t="shared" si="3"/>
        <v>2</v>
      </c>
      <c r="E94" t="s">
        <v>60</v>
      </c>
      <c r="F94" t="s">
        <v>1023</v>
      </c>
      <c r="G94">
        <v>25</v>
      </c>
      <c r="H94" t="s">
        <v>2</v>
      </c>
      <c r="I94" s="3">
        <v>4</v>
      </c>
      <c r="J94" s="2">
        <v>50</v>
      </c>
      <c r="K94" s="2">
        <v>200</v>
      </c>
    </row>
    <row r="95" spans="1:11" x14ac:dyDescent="0.3">
      <c r="A95">
        <v>793</v>
      </c>
      <c r="B95" s="1">
        <v>44962</v>
      </c>
      <c r="C95" s="3">
        <f t="shared" si="2"/>
        <v>2023</v>
      </c>
      <c r="D95" s="3">
        <f t="shared" si="3"/>
        <v>2</v>
      </c>
      <c r="E95" t="s">
        <v>816</v>
      </c>
      <c r="F95" t="s">
        <v>1022</v>
      </c>
      <c r="G95">
        <v>54</v>
      </c>
      <c r="H95" t="s">
        <v>2</v>
      </c>
      <c r="I95" s="3">
        <v>1</v>
      </c>
      <c r="J95" s="2">
        <v>30</v>
      </c>
      <c r="K95" s="2">
        <v>30</v>
      </c>
    </row>
    <row r="96" spans="1:11" x14ac:dyDescent="0.3">
      <c r="A96">
        <v>85</v>
      </c>
      <c r="B96" s="1">
        <v>44963</v>
      </c>
      <c r="C96" s="3">
        <f t="shared" si="2"/>
        <v>2023</v>
      </c>
      <c r="D96" s="3">
        <f t="shared" si="3"/>
        <v>2</v>
      </c>
      <c r="E96" t="s">
        <v>450</v>
      </c>
      <c r="F96" t="s">
        <v>1022</v>
      </c>
      <c r="G96">
        <v>31</v>
      </c>
      <c r="H96" t="s">
        <v>3</v>
      </c>
      <c r="I96" s="3">
        <v>3</v>
      </c>
      <c r="J96" s="2">
        <v>50</v>
      </c>
      <c r="K96" s="2">
        <v>150</v>
      </c>
    </row>
    <row r="97" spans="1:11" x14ac:dyDescent="0.3">
      <c r="A97">
        <v>232</v>
      </c>
      <c r="B97" s="1">
        <v>44963</v>
      </c>
      <c r="C97" s="3">
        <f t="shared" si="2"/>
        <v>2023</v>
      </c>
      <c r="D97" s="3">
        <f t="shared" si="3"/>
        <v>2</v>
      </c>
      <c r="E97" t="s">
        <v>1003</v>
      </c>
      <c r="F97" t="s">
        <v>1023</v>
      </c>
      <c r="G97">
        <v>43</v>
      </c>
      <c r="H97" t="s">
        <v>2</v>
      </c>
      <c r="I97" s="3">
        <v>1</v>
      </c>
      <c r="J97" s="2">
        <v>25</v>
      </c>
      <c r="K97" s="2">
        <v>25</v>
      </c>
    </row>
    <row r="98" spans="1:11" x14ac:dyDescent="0.3">
      <c r="A98">
        <v>240</v>
      </c>
      <c r="B98" s="1">
        <v>44963</v>
      </c>
      <c r="C98" s="3">
        <f t="shared" si="2"/>
        <v>2023</v>
      </c>
      <c r="D98" s="3">
        <f t="shared" si="3"/>
        <v>2</v>
      </c>
      <c r="E98" t="s">
        <v>982</v>
      </c>
      <c r="F98" t="s">
        <v>1023</v>
      </c>
      <c r="G98">
        <v>23</v>
      </c>
      <c r="H98" t="s">
        <v>2</v>
      </c>
      <c r="I98" s="3">
        <v>1</v>
      </c>
      <c r="J98" s="2">
        <v>300</v>
      </c>
      <c r="K98" s="2">
        <v>300</v>
      </c>
    </row>
    <row r="99" spans="1:11" x14ac:dyDescent="0.3">
      <c r="A99">
        <v>993</v>
      </c>
      <c r="B99" s="1">
        <v>44963</v>
      </c>
      <c r="C99" s="3">
        <f t="shared" si="2"/>
        <v>2023</v>
      </c>
      <c r="D99" s="3">
        <f t="shared" si="3"/>
        <v>2</v>
      </c>
      <c r="E99" t="s">
        <v>287</v>
      </c>
      <c r="F99" t="s">
        <v>1023</v>
      </c>
      <c r="G99">
        <v>48</v>
      </c>
      <c r="H99" t="s">
        <v>4</v>
      </c>
      <c r="I99" s="3">
        <v>3</v>
      </c>
      <c r="J99" s="2">
        <v>50</v>
      </c>
      <c r="K99" s="2">
        <v>150</v>
      </c>
    </row>
    <row r="100" spans="1:11" x14ac:dyDescent="0.3">
      <c r="A100">
        <v>366</v>
      </c>
      <c r="B100" s="1">
        <v>44964</v>
      </c>
      <c r="C100" s="3">
        <f t="shared" si="2"/>
        <v>2023</v>
      </c>
      <c r="D100" s="3">
        <f t="shared" si="3"/>
        <v>2</v>
      </c>
      <c r="E100" t="s">
        <v>663</v>
      </c>
      <c r="F100" t="s">
        <v>1022</v>
      </c>
      <c r="G100">
        <v>57</v>
      </c>
      <c r="H100" t="s">
        <v>3</v>
      </c>
      <c r="I100" s="3">
        <v>2</v>
      </c>
      <c r="J100" s="2">
        <v>50</v>
      </c>
      <c r="K100" s="2">
        <v>100</v>
      </c>
    </row>
    <row r="101" spans="1:11" x14ac:dyDescent="0.3">
      <c r="A101">
        <v>372</v>
      </c>
      <c r="B101" s="1">
        <v>44964</v>
      </c>
      <c r="C101" s="3">
        <f t="shared" si="2"/>
        <v>2023</v>
      </c>
      <c r="D101" s="3">
        <f t="shared" si="3"/>
        <v>2</v>
      </c>
      <c r="E101" t="s">
        <v>398</v>
      </c>
      <c r="F101" t="s">
        <v>1023</v>
      </c>
      <c r="G101">
        <v>24</v>
      </c>
      <c r="H101" t="s">
        <v>2</v>
      </c>
      <c r="I101" s="3">
        <v>3</v>
      </c>
      <c r="J101" s="2">
        <v>500</v>
      </c>
      <c r="K101" s="2">
        <v>1500</v>
      </c>
    </row>
    <row r="102" spans="1:11" x14ac:dyDescent="0.3">
      <c r="A102">
        <v>596</v>
      </c>
      <c r="B102" s="1">
        <v>44964</v>
      </c>
      <c r="C102" s="3">
        <f t="shared" si="2"/>
        <v>2023</v>
      </c>
      <c r="D102" s="3">
        <f t="shared" si="3"/>
        <v>2</v>
      </c>
      <c r="E102" t="s">
        <v>867</v>
      </c>
      <c r="F102" t="s">
        <v>1023</v>
      </c>
      <c r="G102">
        <v>64</v>
      </c>
      <c r="H102" t="s">
        <v>4</v>
      </c>
      <c r="I102" s="3">
        <v>1</v>
      </c>
      <c r="J102" s="2">
        <v>300</v>
      </c>
      <c r="K102" s="2">
        <v>300</v>
      </c>
    </row>
    <row r="103" spans="1:11" x14ac:dyDescent="0.3">
      <c r="A103">
        <v>936</v>
      </c>
      <c r="B103" s="1">
        <v>44964</v>
      </c>
      <c r="C103" s="3">
        <f t="shared" si="2"/>
        <v>2023</v>
      </c>
      <c r="D103" s="3">
        <f t="shared" si="3"/>
        <v>2</v>
      </c>
      <c r="E103" t="s">
        <v>55</v>
      </c>
      <c r="F103" t="s">
        <v>1022</v>
      </c>
      <c r="G103">
        <v>57</v>
      </c>
      <c r="H103" t="s">
        <v>2</v>
      </c>
      <c r="I103" s="3">
        <v>4</v>
      </c>
      <c r="J103" s="2">
        <v>50</v>
      </c>
      <c r="K103" s="2">
        <v>200</v>
      </c>
    </row>
    <row r="104" spans="1:11" x14ac:dyDescent="0.3">
      <c r="A104">
        <v>284</v>
      </c>
      <c r="B104" s="1">
        <v>44965</v>
      </c>
      <c r="C104" s="3">
        <f t="shared" si="2"/>
        <v>2023</v>
      </c>
      <c r="D104" s="3">
        <f t="shared" si="3"/>
        <v>2</v>
      </c>
      <c r="E104" t="s">
        <v>229</v>
      </c>
      <c r="F104" t="s">
        <v>1022</v>
      </c>
      <c r="G104">
        <v>43</v>
      </c>
      <c r="H104" t="s">
        <v>3</v>
      </c>
      <c r="I104" s="3">
        <v>4</v>
      </c>
      <c r="J104" s="2">
        <v>50</v>
      </c>
      <c r="K104" s="2">
        <v>200</v>
      </c>
    </row>
    <row r="105" spans="1:11" x14ac:dyDescent="0.3">
      <c r="A105">
        <v>434</v>
      </c>
      <c r="B105" s="1">
        <v>44965</v>
      </c>
      <c r="C105" s="3">
        <f t="shared" si="2"/>
        <v>2023</v>
      </c>
      <c r="D105" s="3">
        <f t="shared" si="3"/>
        <v>2</v>
      </c>
      <c r="E105" t="s">
        <v>671</v>
      </c>
      <c r="F105" t="s">
        <v>1023</v>
      </c>
      <c r="G105">
        <v>43</v>
      </c>
      <c r="H105" t="s">
        <v>4</v>
      </c>
      <c r="I105" s="3">
        <v>2</v>
      </c>
      <c r="J105" s="2">
        <v>25</v>
      </c>
      <c r="K105" s="2">
        <v>50</v>
      </c>
    </row>
    <row r="106" spans="1:11" x14ac:dyDescent="0.3">
      <c r="A106">
        <v>775</v>
      </c>
      <c r="B106" s="1">
        <v>44965</v>
      </c>
      <c r="C106" s="3">
        <f t="shared" si="2"/>
        <v>2023</v>
      </c>
      <c r="D106" s="3">
        <f t="shared" si="3"/>
        <v>2</v>
      </c>
      <c r="E106" t="s">
        <v>80</v>
      </c>
      <c r="F106" t="s">
        <v>1023</v>
      </c>
      <c r="G106">
        <v>46</v>
      </c>
      <c r="H106" t="s">
        <v>4</v>
      </c>
      <c r="I106" s="3">
        <v>4</v>
      </c>
      <c r="J106" s="2">
        <v>25</v>
      </c>
      <c r="K106" s="2">
        <v>100</v>
      </c>
    </row>
    <row r="107" spans="1:11" x14ac:dyDescent="0.3">
      <c r="A107">
        <v>977</v>
      </c>
      <c r="B107" s="1">
        <v>44965</v>
      </c>
      <c r="C107" s="3">
        <f t="shared" si="2"/>
        <v>2023</v>
      </c>
      <c r="D107" s="3">
        <f t="shared" si="3"/>
        <v>2</v>
      </c>
      <c r="E107" t="s">
        <v>319</v>
      </c>
      <c r="F107" t="s">
        <v>1023</v>
      </c>
      <c r="G107">
        <v>35</v>
      </c>
      <c r="H107" t="s">
        <v>4</v>
      </c>
      <c r="I107" s="3">
        <v>3</v>
      </c>
      <c r="J107" s="2">
        <v>25</v>
      </c>
      <c r="K107" s="2">
        <v>75</v>
      </c>
    </row>
    <row r="108" spans="1:11" x14ac:dyDescent="0.3">
      <c r="A108">
        <v>649</v>
      </c>
      <c r="B108" s="1">
        <v>44966</v>
      </c>
      <c r="C108" s="3">
        <f t="shared" si="2"/>
        <v>2023</v>
      </c>
      <c r="D108" s="3">
        <f t="shared" si="3"/>
        <v>2</v>
      </c>
      <c r="E108" t="s">
        <v>629</v>
      </c>
      <c r="F108" t="s">
        <v>1023</v>
      </c>
      <c r="G108">
        <v>58</v>
      </c>
      <c r="H108" t="s">
        <v>3</v>
      </c>
      <c r="I108" s="3">
        <v>2</v>
      </c>
      <c r="J108" s="2">
        <v>300</v>
      </c>
      <c r="K108" s="2">
        <v>600</v>
      </c>
    </row>
    <row r="109" spans="1:11" x14ac:dyDescent="0.3">
      <c r="A109">
        <v>54</v>
      </c>
      <c r="B109" s="1">
        <v>44967</v>
      </c>
      <c r="C109" s="3">
        <f t="shared" si="2"/>
        <v>2023</v>
      </c>
      <c r="D109" s="3">
        <f t="shared" si="3"/>
        <v>2</v>
      </c>
      <c r="E109" t="s">
        <v>517</v>
      </c>
      <c r="F109" t="s">
        <v>1023</v>
      </c>
      <c r="G109">
        <v>38</v>
      </c>
      <c r="H109" t="s">
        <v>4</v>
      </c>
      <c r="I109" s="3">
        <v>3</v>
      </c>
      <c r="J109" s="2">
        <v>500</v>
      </c>
      <c r="K109" s="2">
        <v>1500</v>
      </c>
    </row>
    <row r="110" spans="1:11" x14ac:dyDescent="0.3">
      <c r="A110">
        <v>68</v>
      </c>
      <c r="B110" s="1">
        <v>44967</v>
      </c>
      <c r="C110" s="3">
        <f t="shared" si="2"/>
        <v>2023</v>
      </c>
      <c r="D110" s="3">
        <f t="shared" si="3"/>
        <v>2</v>
      </c>
      <c r="E110" t="s">
        <v>963</v>
      </c>
      <c r="F110" t="s">
        <v>1022</v>
      </c>
      <c r="G110">
        <v>25</v>
      </c>
      <c r="H110" t="s">
        <v>4</v>
      </c>
      <c r="I110" s="3">
        <v>1</v>
      </c>
      <c r="J110" s="2">
        <v>300</v>
      </c>
      <c r="K110" s="2">
        <v>300</v>
      </c>
    </row>
    <row r="111" spans="1:11" x14ac:dyDescent="0.3">
      <c r="A111">
        <v>192</v>
      </c>
      <c r="B111" s="1">
        <v>44967</v>
      </c>
      <c r="C111" s="3">
        <f t="shared" si="2"/>
        <v>2023</v>
      </c>
      <c r="D111" s="3">
        <f t="shared" si="3"/>
        <v>2</v>
      </c>
      <c r="E111" t="s">
        <v>706</v>
      </c>
      <c r="F111" t="s">
        <v>1022</v>
      </c>
      <c r="G111">
        <v>62</v>
      </c>
      <c r="H111" t="s">
        <v>2</v>
      </c>
      <c r="I111" s="3">
        <v>2</v>
      </c>
      <c r="J111" s="2">
        <v>50</v>
      </c>
      <c r="K111" s="2">
        <v>100</v>
      </c>
    </row>
    <row r="112" spans="1:11" x14ac:dyDescent="0.3">
      <c r="A112">
        <v>331</v>
      </c>
      <c r="B112" s="1">
        <v>44968</v>
      </c>
      <c r="C112" s="3">
        <f t="shared" si="2"/>
        <v>2023</v>
      </c>
      <c r="D112" s="3">
        <f t="shared" si="3"/>
        <v>2</v>
      </c>
      <c r="E112" t="s">
        <v>520</v>
      </c>
      <c r="F112" t="s">
        <v>1022</v>
      </c>
      <c r="G112">
        <v>28</v>
      </c>
      <c r="H112" t="s">
        <v>4</v>
      </c>
      <c r="I112" s="3">
        <v>3</v>
      </c>
      <c r="J112" s="2">
        <v>30</v>
      </c>
      <c r="K112" s="2">
        <v>90</v>
      </c>
    </row>
    <row r="113" spans="1:11" x14ac:dyDescent="0.3">
      <c r="A113">
        <v>346</v>
      </c>
      <c r="B113" s="1">
        <v>44968</v>
      </c>
      <c r="C113" s="3">
        <f t="shared" si="2"/>
        <v>2023</v>
      </c>
      <c r="D113" s="3">
        <f t="shared" si="3"/>
        <v>2</v>
      </c>
      <c r="E113" t="s">
        <v>635</v>
      </c>
      <c r="F113" t="s">
        <v>1022</v>
      </c>
      <c r="G113">
        <v>59</v>
      </c>
      <c r="H113" t="s">
        <v>3</v>
      </c>
      <c r="I113" s="3">
        <v>2</v>
      </c>
      <c r="J113" s="2">
        <v>500</v>
      </c>
      <c r="K113" s="2">
        <v>1000</v>
      </c>
    </row>
    <row r="114" spans="1:11" x14ac:dyDescent="0.3">
      <c r="A114">
        <v>657</v>
      </c>
      <c r="B114" s="1">
        <v>44968</v>
      </c>
      <c r="C114" s="3">
        <f t="shared" si="2"/>
        <v>2023</v>
      </c>
      <c r="D114" s="3">
        <f t="shared" si="3"/>
        <v>2</v>
      </c>
      <c r="E114" t="s">
        <v>23</v>
      </c>
      <c r="F114" t="s">
        <v>1022</v>
      </c>
      <c r="G114">
        <v>40</v>
      </c>
      <c r="H114" t="s">
        <v>3</v>
      </c>
      <c r="I114" s="3">
        <v>1</v>
      </c>
      <c r="J114" s="2">
        <v>25</v>
      </c>
      <c r="K114" s="2">
        <v>25</v>
      </c>
    </row>
    <row r="115" spans="1:11" x14ac:dyDescent="0.3">
      <c r="A115">
        <v>732</v>
      </c>
      <c r="B115" s="1">
        <v>44968</v>
      </c>
      <c r="C115" s="3">
        <f t="shared" si="2"/>
        <v>2023</v>
      </c>
      <c r="D115" s="3">
        <f t="shared" si="3"/>
        <v>2</v>
      </c>
      <c r="E115" t="s">
        <v>541</v>
      </c>
      <c r="F115" t="s">
        <v>1022</v>
      </c>
      <c r="G115">
        <v>61</v>
      </c>
      <c r="H115" t="s">
        <v>4</v>
      </c>
      <c r="I115" s="3">
        <v>2</v>
      </c>
      <c r="J115" s="2">
        <v>500</v>
      </c>
      <c r="K115" s="2">
        <v>1000</v>
      </c>
    </row>
    <row r="116" spans="1:11" x14ac:dyDescent="0.3">
      <c r="A116">
        <v>972</v>
      </c>
      <c r="B116" s="1">
        <v>44968</v>
      </c>
      <c r="C116" s="3">
        <f t="shared" si="2"/>
        <v>2023</v>
      </c>
      <c r="D116" s="3">
        <f t="shared" si="3"/>
        <v>2</v>
      </c>
      <c r="E116" t="s">
        <v>99</v>
      </c>
      <c r="F116" t="s">
        <v>1022</v>
      </c>
      <c r="G116">
        <v>49</v>
      </c>
      <c r="H116" t="s">
        <v>2</v>
      </c>
      <c r="I116" s="3">
        <v>4</v>
      </c>
      <c r="J116" s="2">
        <v>25</v>
      </c>
      <c r="K116" s="2">
        <v>100</v>
      </c>
    </row>
    <row r="117" spans="1:11" x14ac:dyDescent="0.3">
      <c r="A117">
        <v>714</v>
      </c>
      <c r="B117" s="1">
        <v>44969</v>
      </c>
      <c r="C117" s="3">
        <f t="shared" si="2"/>
        <v>2023</v>
      </c>
      <c r="D117" s="3">
        <f t="shared" si="3"/>
        <v>2</v>
      </c>
      <c r="E117" t="s">
        <v>774</v>
      </c>
      <c r="F117" t="s">
        <v>1023</v>
      </c>
      <c r="G117">
        <v>18</v>
      </c>
      <c r="H117" t="s">
        <v>3</v>
      </c>
      <c r="I117" s="3">
        <v>1</v>
      </c>
      <c r="J117" s="2">
        <v>500</v>
      </c>
      <c r="K117" s="2">
        <v>500</v>
      </c>
    </row>
    <row r="118" spans="1:11" x14ac:dyDescent="0.3">
      <c r="A118">
        <v>193</v>
      </c>
      <c r="B118" s="1">
        <v>44970</v>
      </c>
      <c r="C118" s="3">
        <f t="shared" si="2"/>
        <v>2023</v>
      </c>
      <c r="D118" s="3">
        <f t="shared" si="3"/>
        <v>2</v>
      </c>
      <c r="E118" t="s">
        <v>513</v>
      </c>
      <c r="F118" t="s">
        <v>1022</v>
      </c>
      <c r="G118">
        <v>35</v>
      </c>
      <c r="H118" t="s">
        <v>2</v>
      </c>
      <c r="I118" s="3">
        <v>3</v>
      </c>
      <c r="J118" s="2">
        <v>500</v>
      </c>
      <c r="K118" s="2">
        <v>1500</v>
      </c>
    </row>
    <row r="119" spans="1:11" x14ac:dyDescent="0.3">
      <c r="A119">
        <v>577</v>
      </c>
      <c r="B119" s="1">
        <v>44970</v>
      </c>
      <c r="C119" s="3">
        <f t="shared" si="2"/>
        <v>2023</v>
      </c>
      <c r="D119" s="3">
        <f t="shared" si="3"/>
        <v>2</v>
      </c>
      <c r="E119" t="s">
        <v>156</v>
      </c>
      <c r="F119" t="s">
        <v>1022</v>
      </c>
      <c r="G119">
        <v>21</v>
      </c>
      <c r="H119" t="s">
        <v>2</v>
      </c>
      <c r="I119" s="3">
        <v>4</v>
      </c>
      <c r="J119" s="2">
        <v>500</v>
      </c>
      <c r="K119" s="2">
        <v>2000</v>
      </c>
    </row>
    <row r="120" spans="1:11" x14ac:dyDescent="0.3">
      <c r="A120">
        <v>848</v>
      </c>
      <c r="B120" s="1">
        <v>44970</v>
      </c>
      <c r="C120" s="3">
        <f t="shared" si="2"/>
        <v>2023</v>
      </c>
      <c r="D120" s="3">
        <f t="shared" si="3"/>
        <v>2</v>
      </c>
      <c r="E120" t="s">
        <v>360</v>
      </c>
      <c r="F120" t="s">
        <v>1023</v>
      </c>
      <c r="G120">
        <v>63</v>
      </c>
      <c r="H120" t="s">
        <v>3</v>
      </c>
      <c r="I120" s="3">
        <v>3</v>
      </c>
      <c r="J120" s="2">
        <v>25</v>
      </c>
      <c r="K120" s="2">
        <v>75</v>
      </c>
    </row>
    <row r="121" spans="1:11" x14ac:dyDescent="0.3">
      <c r="A121">
        <v>945</v>
      </c>
      <c r="B121" s="1">
        <v>44970</v>
      </c>
      <c r="C121" s="3">
        <f t="shared" si="2"/>
        <v>2023</v>
      </c>
      <c r="D121" s="3">
        <f t="shared" si="3"/>
        <v>2</v>
      </c>
      <c r="E121" t="s">
        <v>844</v>
      </c>
      <c r="F121" t="s">
        <v>1022</v>
      </c>
      <c r="G121">
        <v>30</v>
      </c>
      <c r="H121" t="s">
        <v>2</v>
      </c>
      <c r="I121" s="3">
        <v>1</v>
      </c>
      <c r="J121" s="2">
        <v>25</v>
      </c>
      <c r="K121" s="2">
        <v>25</v>
      </c>
    </row>
    <row r="122" spans="1:11" x14ac:dyDescent="0.3">
      <c r="A122">
        <v>11</v>
      </c>
      <c r="B122" s="1">
        <v>44971</v>
      </c>
      <c r="C122" s="3">
        <f t="shared" si="2"/>
        <v>2023</v>
      </c>
      <c r="D122" s="3">
        <f t="shared" si="3"/>
        <v>2</v>
      </c>
      <c r="E122" t="s">
        <v>713</v>
      </c>
      <c r="F122" t="s">
        <v>1022</v>
      </c>
      <c r="G122">
        <v>23</v>
      </c>
      <c r="H122" t="s">
        <v>3</v>
      </c>
      <c r="I122" s="3">
        <v>2</v>
      </c>
      <c r="J122" s="2">
        <v>50</v>
      </c>
      <c r="K122" s="2">
        <v>100</v>
      </c>
    </row>
    <row r="123" spans="1:11" x14ac:dyDescent="0.3">
      <c r="A123">
        <v>821</v>
      </c>
      <c r="B123" s="1">
        <v>44971</v>
      </c>
      <c r="C123" s="3">
        <f t="shared" si="2"/>
        <v>2023</v>
      </c>
      <c r="D123" s="3">
        <f t="shared" si="3"/>
        <v>2</v>
      </c>
      <c r="E123" t="s">
        <v>777</v>
      </c>
      <c r="F123" t="s">
        <v>1022</v>
      </c>
      <c r="G123">
        <v>49</v>
      </c>
      <c r="H123" t="s">
        <v>4</v>
      </c>
      <c r="I123" s="3">
        <v>1</v>
      </c>
      <c r="J123" s="2">
        <v>300</v>
      </c>
      <c r="K123" s="2">
        <v>300</v>
      </c>
    </row>
    <row r="124" spans="1:11" x14ac:dyDescent="0.3">
      <c r="A124">
        <v>133</v>
      </c>
      <c r="B124" s="1">
        <v>44973</v>
      </c>
      <c r="C124" s="3">
        <f t="shared" si="2"/>
        <v>2023</v>
      </c>
      <c r="D124" s="3">
        <f t="shared" si="3"/>
        <v>2</v>
      </c>
      <c r="E124" t="s">
        <v>469</v>
      </c>
      <c r="F124" t="s">
        <v>1022</v>
      </c>
      <c r="G124">
        <v>20</v>
      </c>
      <c r="H124" t="s">
        <v>4</v>
      </c>
      <c r="I124" s="3">
        <v>3</v>
      </c>
      <c r="J124" s="2">
        <v>300</v>
      </c>
      <c r="K124" s="2">
        <v>900</v>
      </c>
    </row>
    <row r="125" spans="1:11" x14ac:dyDescent="0.3">
      <c r="A125">
        <v>16</v>
      </c>
      <c r="B125" s="1">
        <v>44974</v>
      </c>
      <c r="C125" s="3">
        <f t="shared" si="2"/>
        <v>2023</v>
      </c>
      <c r="D125" s="3">
        <f t="shared" si="3"/>
        <v>2</v>
      </c>
      <c r="E125" t="s">
        <v>498</v>
      </c>
      <c r="F125" t="s">
        <v>1022</v>
      </c>
      <c r="G125">
        <v>19</v>
      </c>
      <c r="H125" t="s">
        <v>3</v>
      </c>
      <c r="I125" s="3">
        <v>3</v>
      </c>
      <c r="J125" s="2">
        <v>500</v>
      </c>
      <c r="K125" s="2">
        <v>1500</v>
      </c>
    </row>
    <row r="126" spans="1:11" x14ac:dyDescent="0.3">
      <c r="A126">
        <v>42</v>
      </c>
      <c r="B126" s="1">
        <v>44974</v>
      </c>
      <c r="C126" s="3">
        <f t="shared" si="2"/>
        <v>2023</v>
      </c>
      <c r="D126" s="3">
        <f t="shared" si="3"/>
        <v>2</v>
      </c>
      <c r="E126" t="s">
        <v>483</v>
      </c>
      <c r="F126" t="s">
        <v>1022</v>
      </c>
      <c r="G126">
        <v>22</v>
      </c>
      <c r="H126" t="s">
        <v>3</v>
      </c>
      <c r="I126" s="3">
        <v>3</v>
      </c>
      <c r="J126" s="2">
        <v>300</v>
      </c>
      <c r="K126" s="2">
        <v>900</v>
      </c>
    </row>
    <row r="127" spans="1:11" x14ac:dyDescent="0.3">
      <c r="A127">
        <v>292</v>
      </c>
      <c r="B127" s="1">
        <v>44974</v>
      </c>
      <c r="C127" s="3">
        <f t="shared" si="2"/>
        <v>2023</v>
      </c>
      <c r="D127" s="3">
        <f t="shared" si="3"/>
        <v>2</v>
      </c>
      <c r="E127" t="s">
        <v>269</v>
      </c>
      <c r="F127" t="s">
        <v>1022</v>
      </c>
      <c r="G127">
        <v>20</v>
      </c>
      <c r="H127" t="s">
        <v>2</v>
      </c>
      <c r="I127" s="3">
        <v>4</v>
      </c>
      <c r="J127" s="2">
        <v>300</v>
      </c>
      <c r="K127" s="2">
        <v>1200</v>
      </c>
    </row>
    <row r="128" spans="1:11" x14ac:dyDescent="0.3">
      <c r="A128">
        <v>416</v>
      </c>
      <c r="B128" s="1">
        <v>44974</v>
      </c>
      <c r="C128" s="3">
        <f t="shared" si="2"/>
        <v>2023</v>
      </c>
      <c r="D128" s="3">
        <f t="shared" si="3"/>
        <v>2</v>
      </c>
      <c r="E128" t="s">
        <v>115</v>
      </c>
      <c r="F128" t="s">
        <v>1022</v>
      </c>
      <c r="G128">
        <v>53</v>
      </c>
      <c r="H128" t="s">
        <v>4</v>
      </c>
      <c r="I128" s="3">
        <v>4</v>
      </c>
      <c r="J128" s="2">
        <v>500</v>
      </c>
      <c r="K128" s="2">
        <v>2000</v>
      </c>
    </row>
    <row r="129" spans="1:11" x14ac:dyDescent="0.3">
      <c r="A129">
        <v>584</v>
      </c>
      <c r="B129" s="1">
        <v>44974</v>
      </c>
      <c r="C129" s="3">
        <f t="shared" si="2"/>
        <v>2023</v>
      </c>
      <c r="D129" s="3">
        <f t="shared" si="3"/>
        <v>2</v>
      </c>
      <c r="E129" t="s">
        <v>130</v>
      </c>
      <c r="F129" t="s">
        <v>1023</v>
      </c>
      <c r="G129">
        <v>27</v>
      </c>
      <c r="H129" t="s">
        <v>2</v>
      </c>
      <c r="I129" s="3">
        <v>4</v>
      </c>
      <c r="J129" s="2">
        <v>50</v>
      </c>
      <c r="K129" s="2">
        <v>200</v>
      </c>
    </row>
    <row r="130" spans="1:11" x14ac:dyDescent="0.3">
      <c r="A130">
        <v>861</v>
      </c>
      <c r="B130" s="1">
        <v>44974</v>
      </c>
      <c r="C130" s="3">
        <f t="shared" ref="C130:C193" si="4">YEAR(B130)</f>
        <v>2023</v>
      </c>
      <c r="D130" s="3">
        <f t="shared" ref="D130:D193" si="5">MONTH(B130)</f>
        <v>2</v>
      </c>
      <c r="E130" t="s">
        <v>365</v>
      </c>
      <c r="F130" t="s">
        <v>1023</v>
      </c>
      <c r="G130">
        <v>41</v>
      </c>
      <c r="H130" t="s">
        <v>3</v>
      </c>
      <c r="I130" s="3">
        <v>3</v>
      </c>
      <c r="J130" s="2">
        <v>30</v>
      </c>
      <c r="K130" s="2">
        <v>90</v>
      </c>
    </row>
    <row r="131" spans="1:11" x14ac:dyDescent="0.3">
      <c r="A131">
        <v>256</v>
      </c>
      <c r="B131" s="1">
        <v>44975</v>
      </c>
      <c r="C131" s="3">
        <f t="shared" si="4"/>
        <v>2023</v>
      </c>
      <c r="D131" s="3">
        <f t="shared" si="5"/>
        <v>2</v>
      </c>
      <c r="E131" t="s">
        <v>695</v>
      </c>
      <c r="F131" t="s">
        <v>1022</v>
      </c>
      <c r="G131">
        <v>23</v>
      </c>
      <c r="H131" t="s">
        <v>3</v>
      </c>
      <c r="I131" s="3">
        <v>2</v>
      </c>
      <c r="J131" s="2">
        <v>500</v>
      </c>
      <c r="K131" s="2">
        <v>1000</v>
      </c>
    </row>
    <row r="132" spans="1:11" x14ac:dyDescent="0.3">
      <c r="A132">
        <v>44</v>
      </c>
      <c r="B132" s="1">
        <v>44976</v>
      </c>
      <c r="C132" s="3">
        <f t="shared" si="4"/>
        <v>2023</v>
      </c>
      <c r="D132" s="3">
        <f t="shared" si="5"/>
        <v>2</v>
      </c>
      <c r="E132" t="s">
        <v>936</v>
      </c>
      <c r="F132" t="s">
        <v>1023</v>
      </c>
      <c r="G132">
        <v>22</v>
      </c>
      <c r="H132" t="s">
        <v>3</v>
      </c>
      <c r="I132" s="3">
        <v>1</v>
      </c>
      <c r="J132" s="2">
        <v>25</v>
      </c>
      <c r="K132" s="2">
        <v>25</v>
      </c>
    </row>
    <row r="133" spans="1:11" x14ac:dyDescent="0.3">
      <c r="A133">
        <v>257</v>
      </c>
      <c r="B133" s="1">
        <v>44976</v>
      </c>
      <c r="C133" s="3">
        <f t="shared" si="4"/>
        <v>2023</v>
      </c>
      <c r="D133" s="3">
        <f t="shared" si="5"/>
        <v>2</v>
      </c>
      <c r="E133" t="s">
        <v>195</v>
      </c>
      <c r="F133" t="s">
        <v>1022</v>
      </c>
      <c r="G133">
        <v>19</v>
      </c>
      <c r="H133" t="s">
        <v>2</v>
      </c>
      <c r="I133" s="3">
        <v>4</v>
      </c>
      <c r="J133" s="2">
        <v>500</v>
      </c>
      <c r="K133" s="2">
        <v>2000</v>
      </c>
    </row>
    <row r="134" spans="1:11" x14ac:dyDescent="0.3">
      <c r="A134">
        <v>268</v>
      </c>
      <c r="B134" s="1">
        <v>44977</v>
      </c>
      <c r="C134" s="3">
        <f t="shared" si="4"/>
        <v>2023</v>
      </c>
      <c r="D134" s="3">
        <f t="shared" si="5"/>
        <v>2</v>
      </c>
      <c r="E134" t="s">
        <v>957</v>
      </c>
      <c r="F134" t="s">
        <v>1023</v>
      </c>
      <c r="G134">
        <v>28</v>
      </c>
      <c r="H134" t="s">
        <v>4</v>
      </c>
      <c r="I134" s="3">
        <v>1</v>
      </c>
      <c r="J134" s="2">
        <v>30</v>
      </c>
      <c r="K134" s="2">
        <v>30</v>
      </c>
    </row>
    <row r="135" spans="1:11" x14ac:dyDescent="0.3">
      <c r="A135">
        <v>287</v>
      </c>
      <c r="B135" s="1">
        <v>44977</v>
      </c>
      <c r="C135" s="3">
        <f t="shared" si="4"/>
        <v>2023</v>
      </c>
      <c r="D135" s="3">
        <f t="shared" si="5"/>
        <v>2</v>
      </c>
      <c r="E135" t="s">
        <v>267</v>
      </c>
      <c r="F135" t="s">
        <v>1022</v>
      </c>
      <c r="G135">
        <v>54</v>
      </c>
      <c r="H135" t="s">
        <v>3</v>
      </c>
      <c r="I135" s="3">
        <v>4</v>
      </c>
      <c r="J135" s="2">
        <v>25</v>
      </c>
      <c r="K135" s="2">
        <v>100</v>
      </c>
    </row>
    <row r="136" spans="1:11" x14ac:dyDescent="0.3">
      <c r="A136">
        <v>966</v>
      </c>
      <c r="B136" s="1">
        <v>44977</v>
      </c>
      <c r="C136" s="3">
        <f t="shared" si="4"/>
        <v>2023</v>
      </c>
      <c r="D136" s="3">
        <f t="shared" si="5"/>
        <v>2</v>
      </c>
      <c r="E136" t="s">
        <v>579</v>
      </c>
      <c r="F136" t="s">
        <v>1022</v>
      </c>
      <c r="G136">
        <v>60</v>
      </c>
      <c r="H136" t="s">
        <v>4</v>
      </c>
      <c r="I136" s="3">
        <v>2</v>
      </c>
      <c r="J136" s="2">
        <v>500</v>
      </c>
      <c r="K136" s="2">
        <v>1000</v>
      </c>
    </row>
    <row r="137" spans="1:11" x14ac:dyDescent="0.3">
      <c r="A137">
        <v>70</v>
      </c>
      <c r="B137" s="1">
        <v>44978</v>
      </c>
      <c r="C137" s="3">
        <f t="shared" si="4"/>
        <v>2023</v>
      </c>
      <c r="D137" s="3">
        <f t="shared" si="5"/>
        <v>2</v>
      </c>
      <c r="E137" t="s">
        <v>975</v>
      </c>
      <c r="F137" t="s">
        <v>1023</v>
      </c>
      <c r="G137">
        <v>43</v>
      </c>
      <c r="H137" t="s">
        <v>3</v>
      </c>
      <c r="I137" s="3">
        <v>1</v>
      </c>
      <c r="J137" s="2">
        <v>300</v>
      </c>
      <c r="K137" s="2">
        <v>300</v>
      </c>
    </row>
    <row r="138" spans="1:11" x14ac:dyDescent="0.3">
      <c r="A138">
        <v>371</v>
      </c>
      <c r="B138" s="1">
        <v>44978</v>
      </c>
      <c r="C138" s="3">
        <f t="shared" si="4"/>
        <v>2023</v>
      </c>
      <c r="D138" s="3">
        <f t="shared" si="5"/>
        <v>2</v>
      </c>
      <c r="E138" t="s">
        <v>910</v>
      </c>
      <c r="F138" t="s">
        <v>1023</v>
      </c>
      <c r="G138">
        <v>20</v>
      </c>
      <c r="H138" t="s">
        <v>2</v>
      </c>
      <c r="I138" s="3">
        <v>1</v>
      </c>
      <c r="J138" s="2">
        <v>25</v>
      </c>
      <c r="K138" s="2">
        <v>25</v>
      </c>
    </row>
    <row r="139" spans="1:11" x14ac:dyDescent="0.3">
      <c r="A139">
        <v>900</v>
      </c>
      <c r="B139" s="1">
        <v>44978</v>
      </c>
      <c r="C139" s="3">
        <f t="shared" si="4"/>
        <v>2023</v>
      </c>
      <c r="D139" s="3">
        <f t="shared" si="5"/>
        <v>2</v>
      </c>
      <c r="E139" t="s">
        <v>584</v>
      </c>
      <c r="F139" t="s">
        <v>1022</v>
      </c>
      <c r="G139">
        <v>21</v>
      </c>
      <c r="H139" t="s">
        <v>3</v>
      </c>
      <c r="I139" s="3">
        <v>2</v>
      </c>
      <c r="J139" s="2">
        <v>30</v>
      </c>
      <c r="K139" s="2">
        <v>60</v>
      </c>
    </row>
    <row r="140" spans="1:11" x14ac:dyDescent="0.3">
      <c r="A140">
        <v>8</v>
      </c>
      <c r="B140" s="1">
        <v>44979</v>
      </c>
      <c r="C140" s="3">
        <f t="shared" si="4"/>
        <v>2023</v>
      </c>
      <c r="D140" s="3">
        <f t="shared" si="5"/>
        <v>2</v>
      </c>
      <c r="E140" t="s">
        <v>198</v>
      </c>
      <c r="F140" t="s">
        <v>1022</v>
      </c>
      <c r="G140">
        <v>30</v>
      </c>
      <c r="H140" t="s">
        <v>4</v>
      </c>
      <c r="I140" s="3">
        <v>4</v>
      </c>
      <c r="J140" s="2">
        <v>25</v>
      </c>
      <c r="K140" s="2">
        <v>100</v>
      </c>
    </row>
    <row r="141" spans="1:11" x14ac:dyDescent="0.3">
      <c r="A141">
        <v>41</v>
      </c>
      <c r="B141" s="1">
        <v>44979</v>
      </c>
      <c r="C141" s="3">
        <f t="shared" si="4"/>
        <v>2023</v>
      </c>
      <c r="D141" s="3">
        <f t="shared" si="5"/>
        <v>2</v>
      </c>
      <c r="E141" t="s">
        <v>701</v>
      </c>
      <c r="F141" t="s">
        <v>1022</v>
      </c>
      <c r="G141">
        <v>34</v>
      </c>
      <c r="H141" t="s">
        <v>3</v>
      </c>
      <c r="I141" s="3">
        <v>2</v>
      </c>
      <c r="J141" s="2">
        <v>25</v>
      </c>
      <c r="K141" s="2">
        <v>50</v>
      </c>
    </row>
    <row r="142" spans="1:11" x14ac:dyDescent="0.3">
      <c r="A142">
        <v>454</v>
      </c>
      <c r="B142" s="1">
        <v>44979</v>
      </c>
      <c r="C142" s="3">
        <f t="shared" si="4"/>
        <v>2023</v>
      </c>
      <c r="D142" s="3">
        <f t="shared" si="5"/>
        <v>2</v>
      </c>
      <c r="E142" t="s">
        <v>913</v>
      </c>
      <c r="F142" t="s">
        <v>1023</v>
      </c>
      <c r="G142">
        <v>46</v>
      </c>
      <c r="H142" t="s">
        <v>2</v>
      </c>
      <c r="I142" s="3">
        <v>1</v>
      </c>
      <c r="J142" s="2">
        <v>25</v>
      </c>
      <c r="K142" s="2">
        <v>25</v>
      </c>
    </row>
    <row r="143" spans="1:11" x14ac:dyDescent="0.3">
      <c r="A143">
        <v>780</v>
      </c>
      <c r="B143" s="1">
        <v>44979</v>
      </c>
      <c r="C143" s="3">
        <f t="shared" si="4"/>
        <v>2023</v>
      </c>
      <c r="D143" s="3">
        <f t="shared" si="5"/>
        <v>2</v>
      </c>
      <c r="E143" t="s">
        <v>528</v>
      </c>
      <c r="F143" t="s">
        <v>1022</v>
      </c>
      <c r="G143">
        <v>52</v>
      </c>
      <c r="H143" t="s">
        <v>4</v>
      </c>
      <c r="I143" s="3">
        <v>2</v>
      </c>
      <c r="J143" s="2">
        <v>25</v>
      </c>
      <c r="K143" s="2">
        <v>50</v>
      </c>
    </row>
    <row r="144" spans="1:11" x14ac:dyDescent="0.3">
      <c r="A144">
        <v>920</v>
      </c>
      <c r="B144" s="1">
        <v>44979</v>
      </c>
      <c r="C144" s="3">
        <f t="shared" si="4"/>
        <v>2023</v>
      </c>
      <c r="D144" s="3">
        <f t="shared" si="5"/>
        <v>2</v>
      </c>
      <c r="E144" t="s">
        <v>341</v>
      </c>
      <c r="F144" t="s">
        <v>1023</v>
      </c>
      <c r="G144">
        <v>28</v>
      </c>
      <c r="H144" t="s">
        <v>2</v>
      </c>
      <c r="I144" s="3">
        <v>3</v>
      </c>
      <c r="J144" s="2">
        <v>25</v>
      </c>
      <c r="K144" s="2">
        <v>75</v>
      </c>
    </row>
    <row r="145" spans="1:11" x14ac:dyDescent="0.3">
      <c r="A145">
        <v>396</v>
      </c>
      <c r="B145" s="1">
        <v>44980</v>
      </c>
      <c r="C145" s="3">
        <f t="shared" si="4"/>
        <v>2023</v>
      </c>
      <c r="D145" s="3">
        <f t="shared" si="5"/>
        <v>2</v>
      </c>
      <c r="E145" t="s">
        <v>873</v>
      </c>
      <c r="F145" t="s">
        <v>1023</v>
      </c>
      <c r="G145">
        <v>55</v>
      </c>
      <c r="H145" t="s">
        <v>2</v>
      </c>
      <c r="I145" s="3">
        <v>1</v>
      </c>
      <c r="J145" s="2">
        <v>30</v>
      </c>
      <c r="K145" s="2">
        <v>30</v>
      </c>
    </row>
    <row r="146" spans="1:11" x14ac:dyDescent="0.3">
      <c r="A146">
        <v>168</v>
      </c>
      <c r="B146" s="1">
        <v>44981</v>
      </c>
      <c r="C146" s="3">
        <f t="shared" si="4"/>
        <v>2023</v>
      </c>
      <c r="D146" s="3">
        <f t="shared" si="5"/>
        <v>2</v>
      </c>
      <c r="E146" t="s">
        <v>1006</v>
      </c>
      <c r="F146" t="s">
        <v>1022</v>
      </c>
      <c r="G146">
        <v>53</v>
      </c>
      <c r="H146" t="s">
        <v>3</v>
      </c>
      <c r="I146" s="3">
        <v>1</v>
      </c>
      <c r="J146" s="2">
        <v>300</v>
      </c>
      <c r="K146" s="2">
        <v>300</v>
      </c>
    </row>
    <row r="147" spans="1:11" x14ac:dyDescent="0.3">
      <c r="A147">
        <v>400</v>
      </c>
      <c r="B147" s="1">
        <v>44981</v>
      </c>
      <c r="C147" s="3">
        <f t="shared" si="4"/>
        <v>2023</v>
      </c>
      <c r="D147" s="3">
        <f t="shared" si="5"/>
        <v>2</v>
      </c>
      <c r="E147" t="s">
        <v>182</v>
      </c>
      <c r="F147" t="s">
        <v>1022</v>
      </c>
      <c r="G147">
        <v>53</v>
      </c>
      <c r="H147" t="s">
        <v>3</v>
      </c>
      <c r="I147" s="3">
        <v>4</v>
      </c>
      <c r="J147" s="2">
        <v>50</v>
      </c>
      <c r="K147" s="2">
        <v>200</v>
      </c>
    </row>
    <row r="148" spans="1:11" x14ac:dyDescent="0.3">
      <c r="A148">
        <v>611</v>
      </c>
      <c r="B148" s="1">
        <v>44981</v>
      </c>
      <c r="C148" s="3">
        <f t="shared" si="4"/>
        <v>2023</v>
      </c>
      <c r="D148" s="3">
        <f t="shared" si="5"/>
        <v>2</v>
      </c>
      <c r="E148" t="s">
        <v>389</v>
      </c>
      <c r="F148" t="s">
        <v>1022</v>
      </c>
      <c r="G148">
        <v>51</v>
      </c>
      <c r="H148" t="s">
        <v>2</v>
      </c>
      <c r="I148" s="3">
        <v>3</v>
      </c>
      <c r="J148" s="2">
        <v>500</v>
      </c>
      <c r="K148" s="2">
        <v>1500</v>
      </c>
    </row>
    <row r="149" spans="1:11" x14ac:dyDescent="0.3">
      <c r="A149">
        <v>800</v>
      </c>
      <c r="B149" s="1">
        <v>44981</v>
      </c>
      <c r="C149" s="3">
        <f t="shared" si="4"/>
        <v>2023</v>
      </c>
      <c r="D149" s="3">
        <f t="shared" si="5"/>
        <v>2</v>
      </c>
      <c r="E149" t="s">
        <v>92</v>
      </c>
      <c r="F149" t="s">
        <v>1022</v>
      </c>
      <c r="G149">
        <v>32</v>
      </c>
      <c r="H149" t="s">
        <v>3</v>
      </c>
      <c r="I149" s="3">
        <v>4</v>
      </c>
      <c r="J149" s="2">
        <v>300</v>
      </c>
      <c r="K149" s="2">
        <v>1200</v>
      </c>
    </row>
    <row r="150" spans="1:11" x14ac:dyDescent="0.3">
      <c r="A150">
        <v>272</v>
      </c>
      <c r="B150" s="1">
        <v>44982</v>
      </c>
      <c r="C150" s="3">
        <f t="shared" si="4"/>
        <v>2023</v>
      </c>
      <c r="D150" s="3">
        <f t="shared" si="5"/>
        <v>2</v>
      </c>
      <c r="E150" t="s">
        <v>725</v>
      </c>
      <c r="F150" t="s">
        <v>1023</v>
      </c>
      <c r="G150">
        <v>61</v>
      </c>
      <c r="H150" t="s">
        <v>4</v>
      </c>
      <c r="I150" s="3">
        <v>2</v>
      </c>
      <c r="J150" s="2">
        <v>50</v>
      </c>
      <c r="K150" s="2">
        <v>100</v>
      </c>
    </row>
    <row r="151" spans="1:11" x14ac:dyDescent="0.3">
      <c r="A151">
        <v>473</v>
      </c>
      <c r="B151" s="1">
        <v>44982</v>
      </c>
      <c r="C151" s="3">
        <f t="shared" si="4"/>
        <v>2023</v>
      </c>
      <c r="D151" s="3">
        <f t="shared" si="5"/>
        <v>2</v>
      </c>
      <c r="E151" t="s">
        <v>922</v>
      </c>
      <c r="F151" t="s">
        <v>1022</v>
      </c>
      <c r="G151">
        <v>64</v>
      </c>
      <c r="H151" t="s">
        <v>2</v>
      </c>
      <c r="I151" s="3">
        <v>1</v>
      </c>
      <c r="J151" s="2">
        <v>50</v>
      </c>
      <c r="K151" s="2">
        <v>50</v>
      </c>
    </row>
    <row r="152" spans="1:11" x14ac:dyDescent="0.3">
      <c r="A152">
        <v>506</v>
      </c>
      <c r="B152" s="1">
        <v>44982</v>
      </c>
      <c r="C152" s="3">
        <f t="shared" si="4"/>
        <v>2023</v>
      </c>
      <c r="D152" s="3">
        <f t="shared" si="5"/>
        <v>2</v>
      </c>
      <c r="E152" t="s">
        <v>414</v>
      </c>
      <c r="F152" t="s">
        <v>1022</v>
      </c>
      <c r="G152">
        <v>34</v>
      </c>
      <c r="H152" t="s">
        <v>2</v>
      </c>
      <c r="I152" s="3">
        <v>3</v>
      </c>
      <c r="J152" s="2">
        <v>500</v>
      </c>
      <c r="K152" s="2">
        <v>1500</v>
      </c>
    </row>
    <row r="153" spans="1:11" x14ac:dyDescent="0.3">
      <c r="A153">
        <v>766</v>
      </c>
      <c r="B153" s="1">
        <v>44982</v>
      </c>
      <c r="C153" s="3">
        <f t="shared" si="4"/>
        <v>2023</v>
      </c>
      <c r="D153" s="3">
        <f t="shared" si="5"/>
        <v>2</v>
      </c>
      <c r="E153" t="s">
        <v>298</v>
      </c>
      <c r="F153" t="s">
        <v>1022</v>
      </c>
      <c r="G153">
        <v>38</v>
      </c>
      <c r="H153" t="s">
        <v>4</v>
      </c>
      <c r="I153" s="3">
        <v>3</v>
      </c>
      <c r="J153" s="2">
        <v>300</v>
      </c>
      <c r="K153" s="2">
        <v>900</v>
      </c>
    </row>
    <row r="154" spans="1:11" x14ac:dyDescent="0.3">
      <c r="A154">
        <v>135</v>
      </c>
      <c r="B154" s="1">
        <v>44983</v>
      </c>
      <c r="C154" s="3">
        <f t="shared" si="4"/>
        <v>2023</v>
      </c>
      <c r="D154" s="3">
        <f t="shared" si="5"/>
        <v>2</v>
      </c>
      <c r="E154" t="s">
        <v>730</v>
      </c>
      <c r="F154" t="s">
        <v>1022</v>
      </c>
      <c r="G154">
        <v>20</v>
      </c>
      <c r="H154" t="s">
        <v>3</v>
      </c>
      <c r="I154" s="3">
        <v>2</v>
      </c>
      <c r="J154" s="2">
        <v>25</v>
      </c>
      <c r="K154" s="2">
        <v>50</v>
      </c>
    </row>
    <row r="155" spans="1:11" x14ac:dyDescent="0.3">
      <c r="A155">
        <v>2</v>
      </c>
      <c r="B155" s="1">
        <v>44984</v>
      </c>
      <c r="C155" s="3">
        <f t="shared" si="4"/>
        <v>2023</v>
      </c>
      <c r="D155" s="3">
        <f t="shared" si="5"/>
        <v>2</v>
      </c>
      <c r="E155" t="s">
        <v>692</v>
      </c>
      <c r="F155" t="s">
        <v>1023</v>
      </c>
      <c r="G155">
        <v>26</v>
      </c>
      <c r="H155" t="s">
        <v>3</v>
      </c>
      <c r="I155" s="3">
        <v>2</v>
      </c>
      <c r="J155" s="2">
        <v>500</v>
      </c>
      <c r="K155" s="2">
        <v>1000</v>
      </c>
    </row>
    <row r="156" spans="1:11" x14ac:dyDescent="0.3">
      <c r="A156">
        <v>158</v>
      </c>
      <c r="B156" s="1">
        <v>44984</v>
      </c>
      <c r="C156" s="3">
        <f t="shared" si="4"/>
        <v>2023</v>
      </c>
      <c r="D156" s="3">
        <f t="shared" si="5"/>
        <v>2</v>
      </c>
      <c r="E156" t="s">
        <v>707</v>
      </c>
      <c r="F156" t="s">
        <v>1023</v>
      </c>
      <c r="G156">
        <v>44</v>
      </c>
      <c r="H156" t="s">
        <v>4</v>
      </c>
      <c r="I156" s="3">
        <v>2</v>
      </c>
      <c r="J156" s="2">
        <v>300</v>
      </c>
      <c r="K156" s="2">
        <v>600</v>
      </c>
    </row>
    <row r="157" spans="1:11" x14ac:dyDescent="0.3">
      <c r="A157">
        <v>185</v>
      </c>
      <c r="B157" s="1">
        <v>44984</v>
      </c>
      <c r="C157" s="3">
        <f t="shared" si="4"/>
        <v>2023</v>
      </c>
      <c r="D157" s="3">
        <f t="shared" si="5"/>
        <v>2</v>
      </c>
      <c r="E157" t="s">
        <v>1000</v>
      </c>
      <c r="F157" t="s">
        <v>1022</v>
      </c>
      <c r="G157">
        <v>24</v>
      </c>
      <c r="H157" t="s">
        <v>3</v>
      </c>
      <c r="I157" s="3">
        <v>1</v>
      </c>
      <c r="J157" s="2">
        <v>25</v>
      </c>
      <c r="K157" s="2">
        <v>25</v>
      </c>
    </row>
    <row r="158" spans="1:11" x14ac:dyDescent="0.3">
      <c r="A158">
        <v>433</v>
      </c>
      <c r="B158" s="1">
        <v>44984</v>
      </c>
      <c r="C158" s="3">
        <f t="shared" si="4"/>
        <v>2023</v>
      </c>
      <c r="D158" s="3">
        <f t="shared" si="5"/>
        <v>2</v>
      </c>
      <c r="E158" t="s">
        <v>127</v>
      </c>
      <c r="F158" t="s">
        <v>1022</v>
      </c>
      <c r="G158">
        <v>29</v>
      </c>
      <c r="H158" t="s">
        <v>2</v>
      </c>
      <c r="I158" s="3">
        <v>4</v>
      </c>
      <c r="J158" s="2">
        <v>50</v>
      </c>
      <c r="K158" s="2">
        <v>200</v>
      </c>
    </row>
    <row r="159" spans="1:11" x14ac:dyDescent="0.3">
      <c r="A159">
        <v>152</v>
      </c>
      <c r="B159" s="1">
        <v>44985</v>
      </c>
      <c r="C159" s="3">
        <f t="shared" si="4"/>
        <v>2023</v>
      </c>
      <c r="D159" s="3">
        <f t="shared" si="5"/>
        <v>2</v>
      </c>
      <c r="E159" t="s">
        <v>276</v>
      </c>
      <c r="F159" t="s">
        <v>1022</v>
      </c>
      <c r="G159">
        <v>43</v>
      </c>
      <c r="H159" t="s">
        <v>4</v>
      </c>
      <c r="I159" s="3">
        <v>4</v>
      </c>
      <c r="J159" s="2">
        <v>500</v>
      </c>
      <c r="K159" s="2">
        <v>2000</v>
      </c>
    </row>
    <row r="160" spans="1:11" x14ac:dyDescent="0.3">
      <c r="A160">
        <v>753</v>
      </c>
      <c r="B160" s="1">
        <v>44985</v>
      </c>
      <c r="C160" s="3">
        <f t="shared" si="4"/>
        <v>2023</v>
      </c>
      <c r="D160" s="3">
        <f t="shared" si="5"/>
        <v>2</v>
      </c>
      <c r="E160" t="s">
        <v>796</v>
      </c>
      <c r="F160" t="s">
        <v>1023</v>
      </c>
      <c r="G160">
        <v>32</v>
      </c>
      <c r="H160" t="s">
        <v>3</v>
      </c>
      <c r="I160" s="3">
        <v>1</v>
      </c>
      <c r="J160" s="2">
        <v>30</v>
      </c>
      <c r="K160" s="2">
        <v>30</v>
      </c>
    </row>
    <row r="161" spans="1:11" x14ac:dyDescent="0.3">
      <c r="A161">
        <v>763</v>
      </c>
      <c r="B161" s="1">
        <v>44985</v>
      </c>
      <c r="C161" s="3">
        <f t="shared" si="4"/>
        <v>2023</v>
      </c>
      <c r="D161" s="3">
        <f t="shared" si="5"/>
        <v>2</v>
      </c>
      <c r="E161" t="s">
        <v>556</v>
      </c>
      <c r="F161" t="s">
        <v>1022</v>
      </c>
      <c r="G161">
        <v>34</v>
      </c>
      <c r="H161" t="s">
        <v>3</v>
      </c>
      <c r="I161" s="3">
        <v>2</v>
      </c>
      <c r="J161" s="2">
        <v>25</v>
      </c>
      <c r="K161" s="2">
        <v>50</v>
      </c>
    </row>
    <row r="162" spans="1:11" x14ac:dyDescent="0.3">
      <c r="A162">
        <v>932</v>
      </c>
      <c r="B162" s="1">
        <v>44985</v>
      </c>
      <c r="C162" s="3">
        <f t="shared" si="4"/>
        <v>2023</v>
      </c>
      <c r="D162" s="3">
        <f t="shared" si="5"/>
        <v>2</v>
      </c>
      <c r="E162" t="s">
        <v>89</v>
      </c>
      <c r="F162" t="s">
        <v>1023</v>
      </c>
      <c r="G162">
        <v>45</v>
      </c>
      <c r="H162" t="s">
        <v>2</v>
      </c>
      <c r="I162" s="3">
        <v>4</v>
      </c>
      <c r="J162" s="2">
        <v>25</v>
      </c>
      <c r="K162" s="2">
        <v>100</v>
      </c>
    </row>
    <row r="163" spans="1:11" x14ac:dyDescent="0.3">
      <c r="A163">
        <v>399</v>
      </c>
      <c r="B163" s="1">
        <v>44986</v>
      </c>
      <c r="C163" s="3">
        <f t="shared" si="4"/>
        <v>2023</v>
      </c>
      <c r="D163" s="3">
        <f t="shared" si="5"/>
        <v>3</v>
      </c>
      <c r="E163" t="s">
        <v>654</v>
      </c>
      <c r="F163" t="s">
        <v>1023</v>
      </c>
      <c r="G163">
        <v>64</v>
      </c>
      <c r="H163" t="s">
        <v>2</v>
      </c>
      <c r="I163" s="3">
        <v>2</v>
      </c>
      <c r="J163" s="2">
        <v>30</v>
      </c>
      <c r="K163" s="2">
        <v>60</v>
      </c>
    </row>
    <row r="164" spans="1:11" x14ac:dyDescent="0.3">
      <c r="A164">
        <v>500</v>
      </c>
      <c r="B164" s="1">
        <v>44986</v>
      </c>
      <c r="C164" s="3">
        <f t="shared" si="4"/>
        <v>2023</v>
      </c>
      <c r="D164" s="3">
        <f t="shared" si="5"/>
        <v>3</v>
      </c>
      <c r="E164" t="s">
        <v>194</v>
      </c>
      <c r="F164" t="s">
        <v>1023</v>
      </c>
      <c r="G164">
        <v>60</v>
      </c>
      <c r="H164" t="s">
        <v>2</v>
      </c>
      <c r="I164" s="3">
        <v>4</v>
      </c>
      <c r="J164" s="2">
        <v>25</v>
      </c>
      <c r="K164" s="2">
        <v>100</v>
      </c>
    </row>
    <row r="165" spans="1:11" x14ac:dyDescent="0.3">
      <c r="A165">
        <v>514</v>
      </c>
      <c r="B165" s="1">
        <v>44986</v>
      </c>
      <c r="C165" s="3">
        <f t="shared" si="4"/>
        <v>2023</v>
      </c>
      <c r="D165" s="3">
        <f t="shared" si="5"/>
        <v>3</v>
      </c>
      <c r="E165" t="s">
        <v>932</v>
      </c>
      <c r="F165" t="s">
        <v>1023</v>
      </c>
      <c r="G165">
        <v>18</v>
      </c>
      <c r="H165" t="s">
        <v>4</v>
      </c>
      <c r="I165" s="3">
        <v>1</v>
      </c>
      <c r="J165" s="2">
        <v>300</v>
      </c>
      <c r="K165" s="2">
        <v>300</v>
      </c>
    </row>
    <row r="166" spans="1:11" x14ac:dyDescent="0.3">
      <c r="A166">
        <v>947</v>
      </c>
      <c r="B166" s="1">
        <v>44987</v>
      </c>
      <c r="C166" s="3">
        <f t="shared" si="4"/>
        <v>2023</v>
      </c>
      <c r="D166" s="3">
        <f t="shared" si="5"/>
        <v>3</v>
      </c>
      <c r="E166" t="s">
        <v>848</v>
      </c>
      <c r="F166" t="s">
        <v>1022</v>
      </c>
      <c r="G166">
        <v>50</v>
      </c>
      <c r="H166" t="s">
        <v>2</v>
      </c>
      <c r="I166" s="3">
        <v>1</v>
      </c>
      <c r="J166" s="2">
        <v>300</v>
      </c>
      <c r="K166" s="2">
        <v>300</v>
      </c>
    </row>
    <row r="167" spans="1:11" x14ac:dyDescent="0.3">
      <c r="A167">
        <v>220</v>
      </c>
      <c r="B167" s="1">
        <v>44988</v>
      </c>
      <c r="C167" s="3">
        <f t="shared" si="4"/>
        <v>2023</v>
      </c>
      <c r="D167" s="3">
        <f t="shared" si="5"/>
        <v>3</v>
      </c>
      <c r="E167" t="s">
        <v>953</v>
      </c>
      <c r="F167" t="s">
        <v>1022</v>
      </c>
      <c r="G167">
        <v>64</v>
      </c>
      <c r="H167" t="s">
        <v>2</v>
      </c>
      <c r="I167" s="3">
        <v>1</v>
      </c>
      <c r="J167" s="2">
        <v>500</v>
      </c>
      <c r="K167" s="2">
        <v>500</v>
      </c>
    </row>
    <row r="168" spans="1:11" x14ac:dyDescent="0.3">
      <c r="A168">
        <v>339</v>
      </c>
      <c r="B168" s="1">
        <v>44988</v>
      </c>
      <c r="C168" s="3">
        <f t="shared" si="4"/>
        <v>2023</v>
      </c>
      <c r="D168" s="3">
        <f t="shared" si="5"/>
        <v>3</v>
      </c>
      <c r="E168" t="s">
        <v>665</v>
      </c>
      <c r="F168" t="s">
        <v>1023</v>
      </c>
      <c r="G168">
        <v>22</v>
      </c>
      <c r="H168" t="s">
        <v>4</v>
      </c>
      <c r="I168" s="3">
        <v>2</v>
      </c>
      <c r="J168" s="2">
        <v>25</v>
      </c>
      <c r="K168" s="2">
        <v>50</v>
      </c>
    </row>
    <row r="169" spans="1:11" x14ac:dyDescent="0.3">
      <c r="A169">
        <v>785</v>
      </c>
      <c r="B169" s="1">
        <v>44988</v>
      </c>
      <c r="C169" s="3">
        <f t="shared" si="4"/>
        <v>2023</v>
      </c>
      <c r="D169" s="3">
        <f t="shared" si="5"/>
        <v>3</v>
      </c>
      <c r="E169" t="s">
        <v>84</v>
      </c>
      <c r="F169" t="s">
        <v>1023</v>
      </c>
      <c r="G169">
        <v>31</v>
      </c>
      <c r="H169" t="s">
        <v>2</v>
      </c>
      <c r="I169" s="3">
        <v>4</v>
      </c>
      <c r="J169" s="2">
        <v>50</v>
      </c>
      <c r="K169" s="2">
        <v>200</v>
      </c>
    </row>
    <row r="170" spans="1:11" x14ac:dyDescent="0.3">
      <c r="A170">
        <v>885</v>
      </c>
      <c r="B170" s="1">
        <v>44988</v>
      </c>
      <c r="C170" s="3">
        <f t="shared" si="4"/>
        <v>2023</v>
      </c>
      <c r="D170" s="3">
        <f t="shared" si="5"/>
        <v>3</v>
      </c>
      <c r="E170" t="s">
        <v>49</v>
      </c>
      <c r="F170" t="s">
        <v>1023</v>
      </c>
      <c r="G170">
        <v>52</v>
      </c>
      <c r="H170" t="s">
        <v>3</v>
      </c>
      <c r="I170" s="3">
        <v>4</v>
      </c>
      <c r="J170" s="2">
        <v>30</v>
      </c>
      <c r="K170" s="2">
        <v>120</v>
      </c>
    </row>
    <row r="171" spans="1:11" x14ac:dyDescent="0.3">
      <c r="A171">
        <v>888</v>
      </c>
      <c r="B171" s="1">
        <v>44988</v>
      </c>
      <c r="C171" s="3">
        <f t="shared" si="4"/>
        <v>2023</v>
      </c>
      <c r="D171" s="3">
        <f t="shared" si="5"/>
        <v>3</v>
      </c>
      <c r="E171" t="s">
        <v>35</v>
      </c>
      <c r="F171" t="s">
        <v>1023</v>
      </c>
      <c r="G171">
        <v>52</v>
      </c>
      <c r="H171" t="s">
        <v>4</v>
      </c>
      <c r="I171" s="3">
        <v>4</v>
      </c>
      <c r="J171" s="2">
        <v>25</v>
      </c>
      <c r="K171" s="2">
        <v>100</v>
      </c>
    </row>
    <row r="172" spans="1:11" x14ac:dyDescent="0.3">
      <c r="A172">
        <v>621</v>
      </c>
      <c r="B172" s="1">
        <v>44989</v>
      </c>
      <c r="C172" s="3">
        <f t="shared" si="4"/>
        <v>2023</v>
      </c>
      <c r="D172" s="3">
        <f t="shared" si="5"/>
        <v>3</v>
      </c>
      <c r="E172" t="s">
        <v>621</v>
      </c>
      <c r="F172" t="s">
        <v>1023</v>
      </c>
      <c r="G172">
        <v>40</v>
      </c>
      <c r="H172" t="s">
        <v>2</v>
      </c>
      <c r="I172" s="3">
        <v>2</v>
      </c>
      <c r="J172" s="2">
        <v>500</v>
      </c>
      <c r="K172" s="2">
        <v>1000</v>
      </c>
    </row>
    <row r="173" spans="1:11" x14ac:dyDescent="0.3">
      <c r="A173">
        <v>52</v>
      </c>
      <c r="B173" s="1">
        <v>44990</v>
      </c>
      <c r="C173" s="3">
        <f t="shared" si="4"/>
        <v>2023</v>
      </c>
      <c r="D173" s="3">
        <f t="shared" si="5"/>
        <v>3</v>
      </c>
      <c r="E173" t="s">
        <v>970</v>
      </c>
      <c r="F173" t="s">
        <v>1023</v>
      </c>
      <c r="G173">
        <v>36</v>
      </c>
      <c r="H173" t="s">
        <v>2</v>
      </c>
      <c r="I173" s="3">
        <v>1</v>
      </c>
      <c r="J173" s="2">
        <v>300</v>
      </c>
      <c r="K173" s="2">
        <v>300</v>
      </c>
    </row>
    <row r="174" spans="1:11" x14ac:dyDescent="0.3">
      <c r="A174">
        <v>536</v>
      </c>
      <c r="B174" s="1">
        <v>44990</v>
      </c>
      <c r="C174" s="3">
        <f t="shared" si="4"/>
        <v>2023</v>
      </c>
      <c r="D174" s="3">
        <f t="shared" si="5"/>
        <v>3</v>
      </c>
      <c r="E174" t="s">
        <v>148</v>
      </c>
      <c r="F174" t="s">
        <v>1023</v>
      </c>
      <c r="G174">
        <v>55</v>
      </c>
      <c r="H174" t="s">
        <v>2</v>
      </c>
      <c r="I174" s="3">
        <v>4</v>
      </c>
      <c r="J174" s="2">
        <v>30</v>
      </c>
      <c r="K174" s="2">
        <v>120</v>
      </c>
    </row>
    <row r="175" spans="1:11" x14ac:dyDescent="0.3">
      <c r="A175">
        <v>197</v>
      </c>
      <c r="B175" s="1">
        <v>44991</v>
      </c>
      <c r="C175" s="3">
        <f t="shared" si="4"/>
        <v>2023</v>
      </c>
      <c r="D175" s="3">
        <f t="shared" si="5"/>
        <v>3</v>
      </c>
      <c r="E175" t="s">
        <v>219</v>
      </c>
      <c r="F175" t="s">
        <v>1023</v>
      </c>
      <c r="G175">
        <v>42</v>
      </c>
      <c r="H175" t="s">
        <v>3</v>
      </c>
      <c r="I175" s="3">
        <v>4</v>
      </c>
      <c r="J175" s="2">
        <v>50</v>
      </c>
      <c r="K175" s="2">
        <v>200</v>
      </c>
    </row>
    <row r="176" spans="1:11" x14ac:dyDescent="0.3">
      <c r="A176">
        <v>750</v>
      </c>
      <c r="B176" s="1">
        <v>44991</v>
      </c>
      <c r="C176" s="3">
        <f t="shared" si="4"/>
        <v>2023</v>
      </c>
      <c r="D176" s="3">
        <f t="shared" si="5"/>
        <v>3</v>
      </c>
      <c r="E176" t="s">
        <v>288</v>
      </c>
      <c r="F176" t="s">
        <v>1023</v>
      </c>
      <c r="G176">
        <v>35</v>
      </c>
      <c r="H176" t="s">
        <v>3</v>
      </c>
      <c r="I176" s="3">
        <v>3</v>
      </c>
      <c r="J176" s="2">
        <v>25</v>
      </c>
      <c r="K176" s="2">
        <v>75</v>
      </c>
    </row>
    <row r="177" spans="1:11" x14ac:dyDescent="0.3">
      <c r="A177">
        <v>910</v>
      </c>
      <c r="B177" s="1">
        <v>44991</v>
      </c>
      <c r="C177" s="3">
        <f t="shared" si="4"/>
        <v>2023</v>
      </c>
      <c r="D177" s="3">
        <f t="shared" si="5"/>
        <v>3</v>
      </c>
      <c r="E177" t="s">
        <v>335</v>
      </c>
      <c r="F177" t="s">
        <v>1023</v>
      </c>
      <c r="G177">
        <v>20</v>
      </c>
      <c r="H177" t="s">
        <v>2</v>
      </c>
      <c r="I177" s="3">
        <v>3</v>
      </c>
      <c r="J177" s="2">
        <v>50</v>
      </c>
      <c r="K177" s="2">
        <v>150</v>
      </c>
    </row>
    <row r="178" spans="1:11" x14ac:dyDescent="0.3">
      <c r="A178">
        <v>917</v>
      </c>
      <c r="B178" s="1">
        <v>44991</v>
      </c>
      <c r="C178" s="3">
        <f t="shared" si="4"/>
        <v>2023</v>
      </c>
      <c r="D178" s="3">
        <f t="shared" si="5"/>
        <v>3</v>
      </c>
      <c r="E178" t="s">
        <v>28</v>
      </c>
      <c r="F178" t="s">
        <v>1023</v>
      </c>
      <c r="G178">
        <v>57</v>
      </c>
      <c r="H178" t="s">
        <v>4</v>
      </c>
      <c r="I178" s="3">
        <v>4</v>
      </c>
      <c r="J178" s="2">
        <v>50</v>
      </c>
      <c r="K178" s="2">
        <v>200</v>
      </c>
    </row>
    <row r="179" spans="1:11" x14ac:dyDescent="0.3">
      <c r="A179">
        <v>198</v>
      </c>
      <c r="B179" s="1">
        <v>44992</v>
      </c>
      <c r="C179" s="3">
        <f t="shared" si="4"/>
        <v>2023</v>
      </c>
      <c r="D179" s="3">
        <f t="shared" si="5"/>
        <v>3</v>
      </c>
      <c r="E179" t="s">
        <v>519</v>
      </c>
      <c r="F179" t="s">
        <v>1023</v>
      </c>
      <c r="G179">
        <v>54</v>
      </c>
      <c r="H179" t="s">
        <v>2</v>
      </c>
      <c r="I179" s="3">
        <v>3</v>
      </c>
      <c r="J179" s="2">
        <v>300</v>
      </c>
      <c r="K179" s="2">
        <v>900</v>
      </c>
    </row>
    <row r="180" spans="1:11" x14ac:dyDescent="0.3">
      <c r="A180">
        <v>444</v>
      </c>
      <c r="B180" s="1">
        <v>44992</v>
      </c>
      <c r="C180" s="3">
        <f t="shared" si="4"/>
        <v>2023</v>
      </c>
      <c r="D180" s="3">
        <f t="shared" si="5"/>
        <v>3</v>
      </c>
      <c r="E180" t="s">
        <v>374</v>
      </c>
      <c r="F180" t="s">
        <v>1023</v>
      </c>
      <c r="G180">
        <v>61</v>
      </c>
      <c r="H180" t="s">
        <v>3</v>
      </c>
      <c r="I180" s="3">
        <v>3</v>
      </c>
      <c r="J180" s="2">
        <v>30</v>
      </c>
      <c r="K180" s="2">
        <v>90</v>
      </c>
    </row>
    <row r="181" spans="1:11" x14ac:dyDescent="0.3">
      <c r="A181">
        <v>547</v>
      </c>
      <c r="B181" s="1">
        <v>44992</v>
      </c>
      <c r="C181" s="3">
        <f t="shared" si="4"/>
        <v>2023</v>
      </c>
      <c r="D181" s="3">
        <f t="shared" si="5"/>
        <v>3</v>
      </c>
      <c r="E181" t="s">
        <v>150</v>
      </c>
      <c r="F181" t="s">
        <v>1022</v>
      </c>
      <c r="G181">
        <v>63</v>
      </c>
      <c r="H181" t="s">
        <v>3</v>
      </c>
      <c r="I181" s="3">
        <v>4</v>
      </c>
      <c r="J181" s="2">
        <v>500</v>
      </c>
      <c r="K181" s="2">
        <v>2000</v>
      </c>
    </row>
    <row r="182" spans="1:11" x14ac:dyDescent="0.3">
      <c r="A182">
        <v>705</v>
      </c>
      <c r="B182" s="1">
        <v>44992</v>
      </c>
      <c r="C182" s="3">
        <f t="shared" si="4"/>
        <v>2023</v>
      </c>
      <c r="D182" s="3">
        <f t="shared" si="5"/>
        <v>3</v>
      </c>
      <c r="E182" t="s">
        <v>559</v>
      </c>
      <c r="F182" t="s">
        <v>1022</v>
      </c>
      <c r="G182">
        <v>60</v>
      </c>
      <c r="H182" t="s">
        <v>4</v>
      </c>
      <c r="I182" s="3">
        <v>2</v>
      </c>
      <c r="J182" s="2">
        <v>25</v>
      </c>
      <c r="K182" s="2">
        <v>50</v>
      </c>
    </row>
    <row r="183" spans="1:11" x14ac:dyDescent="0.3">
      <c r="A183">
        <v>423</v>
      </c>
      <c r="B183" s="1">
        <v>44993</v>
      </c>
      <c r="C183" s="3">
        <f t="shared" si="4"/>
        <v>2023</v>
      </c>
      <c r="D183" s="3">
        <f t="shared" si="5"/>
        <v>3</v>
      </c>
      <c r="E183" t="s">
        <v>912</v>
      </c>
      <c r="F183" t="s">
        <v>1023</v>
      </c>
      <c r="G183">
        <v>27</v>
      </c>
      <c r="H183" t="s">
        <v>3</v>
      </c>
      <c r="I183" s="3">
        <v>1</v>
      </c>
      <c r="J183" s="2">
        <v>25</v>
      </c>
      <c r="K183" s="2">
        <v>25</v>
      </c>
    </row>
    <row r="184" spans="1:11" x14ac:dyDescent="0.3">
      <c r="A184">
        <v>248</v>
      </c>
      <c r="B184" s="1">
        <v>44994</v>
      </c>
      <c r="C184" s="3">
        <f t="shared" si="4"/>
        <v>2023</v>
      </c>
      <c r="D184" s="3">
        <f t="shared" si="5"/>
        <v>3</v>
      </c>
      <c r="E184" t="s">
        <v>448</v>
      </c>
      <c r="F184" t="s">
        <v>1022</v>
      </c>
      <c r="G184">
        <v>26</v>
      </c>
      <c r="H184" t="s">
        <v>3</v>
      </c>
      <c r="I184" s="3">
        <v>3</v>
      </c>
      <c r="J184" s="2">
        <v>300</v>
      </c>
      <c r="K184" s="2">
        <v>900</v>
      </c>
    </row>
    <row r="185" spans="1:11" x14ac:dyDescent="0.3">
      <c r="A185">
        <v>360</v>
      </c>
      <c r="B185" s="1">
        <v>44994</v>
      </c>
      <c r="C185" s="3">
        <f t="shared" si="4"/>
        <v>2023</v>
      </c>
      <c r="D185" s="3">
        <f t="shared" si="5"/>
        <v>3</v>
      </c>
      <c r="E185" t="s">
        <v>122</v>
      </c>
      <c r="F185" t="s">
        <v>1022</v>
      </c>
      <c r="G185">
        <v>42</v>
      </c>
      <c r="H185" t="s">
        <v>3</v>
      </c>
      <c r="I185" s="3">
        <v>4</v>
      </c>
      <c r="J185" s="2">
        <v>25</v>
      </c>
      <c r="K185" s="2">
        <v>100</v>
      </c>
    </row>
    <row r="186" spans="1:11" x14ac:dyDescent="0.3">
      <c r="A186">
        <v>377</v>
      </c>
      <c r="B186" s="1">
        <v>44994</v>
      </c>
      <c r="C186" s="3">
        <f t="shared" si="4"/>
        <v>2023</v>
      </c>
      <c r="D186" s="3">
        <f t="shared" si="5"/>
        <v>3</v>
      </c>
      <c r="E186" t="s">
        <v>191</v>
      </c>
      <c r="F186" t="s">
        <v>1023</v>
      </c>
      <c r="G186">
        <v>46</v>
      </c>
      <c r="H186" t="s">
        <v>3</v>
      </c>
      <c r="I186" s="3">
        <v>4</v>
      </c>
      <c r="J186" s="2">
        <v>50</v>
      </c>
      <c r="K186" s="2">
        <v>200</v>
      </c>
    </row>
    <row r="187" spans="1:11" x14ac:dyDescent="0.3">
      <c r="A187">
        <v>397</v>
      </c>
      <c r="B187" s="1">
        <v>44995</v>
      </c>
      <c r="C187" s="3">
        <f t="shared" si="4"/>
        <v>2023</v>
      </c>
      <c r="D187" s="3">
        <f t="shared" si="5"/>
        <v>3</v>
      </c>
      <c r="E187" t="s">
        <v>883</v>
      </c>
      <c r="F187" t="s">
        <v>1023</v>
      </c>
      <c r="G187">
        <v>30</v>
      </c>
      <c r="H187" t="s">
        <v>2</v>
      </c>
      <c r="I187" s="3">
        <v>1</v>
      </c>
      <c r="J187" s="2">
        <v>25</v>
      </c>
      <c r="K187" s="2">
        <v>25</v>
      </c>
    </row>
    <row r="188" spans="1:11" x14ac:dyDescent="0.3">
      <c r="A188">
        <v>623</v>
      </c>
      <c r="B188" s="1">
        <v>44995</v>
      </c>
      <c r="C188" s="3">
        <f t="shared" si="4"/>
        <v>2023</v>
      </c>
      <c r="D188" s="3">
        <f t="shared" si="5"/>
        <v>3</v>
      </c>
      <c r="E188" t="s">
        <v>419</v>
      </c>
      <c r="F188" t="s">
        <v>1022</v>
      </c>
      <c r="G188">
        <v>34</v>
      </c>
      <c r="H188" t="s">
        <v>3</v>
      </c>
      <c r="I188" s="3">
        <v>3</v>
      </c>
      <c r="J188" s="2">
        <v>50</v>
      </c>
      <c r="K188" s="2">
        <v>150</v>
      </c>
    </row>
    <row r="189" spans="1:11" x14ac:dyDescent="0.3">
      <c r="A189">
        <v>717</v>
      </c>
      <c r="B189" s="1">
        <v>44996</v>
      </c>
      <c r="C189" s="3">
        <f t="shared" si="4"/>
        <v>2023</v>
      </c>
      <c r="D189" s="3">
        <f t="shared" si="5"/>
        <v>3</v>
      </c>
      <c r="E189" t="s">
        <v>803</v>
      </c>
      <c r="F189" t="s">
        <v>1022</v>
      </c>
      <c r="G189">
        <v>57</v>
      </c>
      <c r="H189" t="s">
        <v>3</v>
      </c>
      <c r="I189" s="3">
        <v>1</v>
      </c>
      <c r="J189" s="2">
        <v>500</v>
      </c>
      <c r="K189" s="2">
        <v>500</v>
      </c>
    </row>
    <row r="190" spans="1:11" x14ac:dyDescent="0.3">
      <c r="A190">
        <v>130</v>
      </c>
      <c r="B190" s="1">
        <v>44997</v>
      </c>
      <c r="C190" s="3">
        <f t="shared" si="4"/>
        <v>2023</v>
      </c>
      <c r="D190" s="3">
        <f t="shared" si="5"/>
        <v>3</v>
      </c>
      <c r="E190" t="s">
        <v>993</v>
      </c>
      <c r="F190" t="s">
        <v>1023</v>
      </c>
      <c r="G190">
        <v>57</v>
      </c>
      <c r="H190" t="s">
        <v>3</v>
      </c>
      <c r="I190" s="3">
        <v>1</v>
      </c>
      <c r="J190" s="2">
        <v>500</v>
      </c>
      <c r="K190" s="2">
        <v>500</v>
      </c>
    </row>
    <row r="191" spans="1:11" x14ac:dyDescent="0.3">
      <c r="A191">
        <v>658</v>
      </c>
      <c r="B191" s="1">
        <v>44997</v>
      </c>
      <c r="C191" s="3">
        <f t="shared" si="4"/>
        <v>2023</v>
      </c>
      <c r="D191" s="3">
        <f t="shared" si="5"/>
        <v>3</v>
      </c>
      <c r="E191" t="s">
        <v>21</v>
      </c>
      <c r="F191" t="s">
        <v>1022</v>
      </c>
      <c r="G191">
        <v>59</v>
      </c>
      <c r="H191" t="s">
        <v>3</v>
      </c>
      <c r="I191" s="3">
        <v>1</v>
      </c>
      <c r="J191" s="2">
        <v>25</v>
      </c>
      <c r="K191" s="2">
        <v>25</v>
      </c>
    </row>
    <row r="192" spans="1:11" x14ac:dyDescent="0.3">
      <c r="A192">
        <v>7</v>
      </c>
      <c r="B192" s="1">
        <v>44998</v>
      </c>
      <c r="C192" s="3">
        <f t="shared" si="4"/>
        <v>2023</v>
      </c>
      <c r="D192" s="3">
        <f t="shared" si="5"/>
        <v>3</v>
      </c>
      <c r="E192" t="s">
        <v>683</v>
      </c>
      <c r="F192" t="s">
        <v>1022</v>
      </c>
      <c r="G192">
        <v>46</v>
      </c>
      <c r="H192" t="s">
        <v>3</v>
      </c>
      <c r="I192" s="3">
        <v>2</v>
      </c>
      <c r="J192" s="2">
        <v>25</v>
      </c>
      <c r="K192" s="2">
        <v>50</v>
      </c>
    </row>
    <row r="193" spans="1:11" x14ac:dyDescent="0.3">
      <c r="A193">
        <v>119</v>
      </c>
      <c r="B193" s="1">
        <v>44998</v>
      </c>
      <c r="C193" s="3">
        <f t="shared" si="4"/>
        <v>2023</v>
      </c>
      <c r="D193" s="3">
        <f t="shared" si="5"/>
        <v>3</v>
      </c>
      <c r="E193" t="s">
        <v>459</v>
      </c>
      <c r="F193" t="s">
        <v>1023</v>
      </c>
      <c r="G193">
        <v>60</v>
      </c>
      <c r="H193" t="s">
        <v>3</v>
      </c>
      <c r="I193" s="3">
        <v>3</v>
      </c>
      <c r="J193" s="2">
        <v>50</v>
      </c>
      <c r="K193" s="2">
        <v>150</v>
      </c>
    </row>
    <row r="194" spans="1:11" x14ac:dyDescent="0.3">
      <c r="A194">
        <v>278</v>
      </c>
      <c r="B194" s="1">
        <v>44998</v>
      </c>
      <c r="C194" s="3">
        <f t="shared" ref="C194:C257" si="6">YEAR(B194)</f>
        <v>2023</v>
      </c>
      <c r="D194" s="3">
        <f t="shared" ref="D194:D257" si="7">MONTH(B194)</f>
        <v>3</v>
      </c>
      <c r="E194" t="s">
        <v>263</v>
      </c>
      <c r="F194" t="s">
        <v>1023</v>
      </c>
      <c r="G194">
        <v>37</v>
      </c>
      <c r="H194" t="s">
        <v>3</v>
      </c>
      <c r="I194" s="3">
        <v>4</v>
      </c>
      <c r="J194" s="2">
        <v>25</v>
      </c>
      <c r="K194" s="2">
        <v>100</v>
      </c>
    </row>
    <row r="195" spans="1:11" x14ac:dyDescent="0.3">
      <c r="A195">
        <v>117</v>
      </c>
      <c r="B195" s="1">
        <v>45000</v>
      </c>
      <c r="C195" s="3">
        <f t="shared" si="6"/>
        <v>2023</v>
      </c>
      <c r="D195" s="3">
        <f t="shared" si="7"/>
        <v>3</v>
      </c>
      <c r="E195" t="s">
        <v>684</v>
      </c>
      <c r="F195" t="s">
        <v>1022</v>
      </c>
      <c r="G195">
        <v>19</v>
      </c>
      <c r="H195" t="s">
        <v>4</v>
      </c>
      <c r="I195" s="3">
        <v>2</v>
      </c>
      <c r="J195" s="2">
        <v>500</v>
      </c>
      <c r="K195" s="2">
        <v>1000</v>
      </c>
    </row>
    <row r="196" spans="1:11" x14ac:dyDescent="0.3">
      <c r="A196">
        <v>442</v>
      </c>
      <c r="B196" s="1">
        <v>45002</v>
      </c>
      <c r="C196" s="3">
        <f t="shared" si="6"/>
        <v>2023</v>
      </c>
      <c r="D196" s="3">
        <f t="shared" si="7"/>
        <v>3</v>
      </c>
      <c r="E196" t="s">
        <v>135</v>
      </c>
      <c r="F196" t="s">
        <v>1023</v>
      </c>
      <c r="G196">
        <v>60</v>
      </c>
      <c r="H196" t="s">
        <v>3</v>
      </c>
      <c r="I196" s="3">
        <v>4</v>
      </c>
      <c r="J196" s="2">
        <v>25</v>
      </c>
      <c r="K196" s="2">
        <v>100</v>
      </c>
    </row>
    <row r="197" spans="1:11" x14ac:dyDescent="0.3">
      <c r="A197">
        <v>590</v>
      </c>
      <c r="B197" s="1">
        <v>45002</v>
      </c>
      <c r="C197" s="3">
        <f t="shared" si="6"/>
        <v>2023</v>
      </c>
      <c r="D197" s="3">
        <f t="shared" si="7"/>
        <v>3</v>
      </c>
      <c r="E197" t="s">
        <v>375</v>
      </c>
      <c r="F197" t="s">
        <v>1022</v>
      </c>
      <c r="G197">
        <v>36</v>
      </c>
      <c r="H197" t="s">
        <v>3</v>
      </c>
      <c r="I197" s="3">
        <v>3</v>
      </c>
      <c r="J197" s="2">
        <v>300</v>
      </c>
      <c r="K197" s="2">
        <v>900</v>
      </c>
    </row>
    <row r="198" spans="1:11" x14ac:dyDescent="0.3">
      <c r="A198">
        <v>607</v>
      </c>
      <c r="B198" s="1">
        <v>45002</v>
      </c>
      <c r="C198" s="3">
        <f t="shared" si="6"/>
        <v>2023</v>
      </c>
      <c r="D198" s="3">
        <f t="shared" si="7"/>
        <v>3</v>
      </c>
      <c r="E198" t="s">
        <v>368</v>
      </c>
      <c r="F198" t="s">
        <v>1022</v>
      </c>
      <c r="G198">
        <v>54</v>
      </c>
      <c r="H198" t="s">
        <v>3</v>
      </c>
      <c r="I198" s="3">
        <v>3</v>
      </c>
      <c r="J198" s="2">
        <v>25</v>
      </c>
      <c r="K198" s="2">
        <v>75</v>
      </c>
    </row>
    <row r="199" spans="1:11" x14ac:dyDescent="0.3">
      <c r="A199">
        <v>436</v>
      </c>
      <c r="B199" s="1">
        <v>45003</v>
      </c>
      <c r="C199" s="3">
        <f t="shared" si="6"/>
        <v>2023</v>
      </c>
      <c r="D199" s="3">
        <f t="shared" si="7"/>
        <v>3</v>
      </c>
      <c r="E199" t="s">
        <v>129</v>
      </c>
      <c r="F199" t="s">
        <v>1023</v>
      </c>
      <c r="G199">
        <v>57</v>
      </c>
      <c r="H199" t="s">
        <v>3</v>
      </c>
      <c r="I199" s="3">
        <v>4</v>
      </c>
      <c r="J199" s="2">
        <v>30</v>
      </c>
      <c r="K199" s="2">
        <v>120</v>
      </c>
    </row>
    <row r="200" spans="1:11" x14ac:dyDescent="0.3">
      <c r="A200">
        <v>942</v>
      </c>
      <c r="B200" s="1">
        <v>45003</v>
      </c>
      <c r="C200" s="3">
        <f t="shared" si="6"/>
        <v>2023</v>
      </c>
      <c r="D200" s="3">
        <f t="shared" si="7"/>
        <v>3</v>
      </c>
      <c r="E200" t="s">
        <v>345</v>
      </c>
      <c r="F200" t="s">
        <v>1022</v>
      </c>
      <c r="G200">
        <v>51</v>
      </c>
      <c r="H200" t="s">
        <v>3</v>
      </c>
      <c r="I200" s="3">
        <v>3</v>
      </c>
      <c r="J200" s="2">
        <v>500</v>
      </c>
      <c r="K200" s="2">
        <v>1500</v>
      </c>
    </row>
    <row r="201" spans="1:11" x14ac:dyDescent="0.3">
      <c r="A201">
        <v>659</v>
      </c>
      <c r="B201" s="1">
        <v>45004</v>
      </c>
      <c r="C201" s="3">
        <f t="shared" si="6"/>
        <v>2023</v>
      </c>
      <c r="D201" s="3">
        <f t="shared" si="7"/>
        <v>3</v>
      </c>
      <c r="E201" t="s">
        <v>187</v>
      </c>
      <c r="F201" t="s">
        <v>1023</v>
      </c>
      <c r="G201">
        <v>39</v>
      </c>
      <c r="H201" t="s">
        <v>4</v>
      </c>
      <c r="I201" s="3">
        <v>1</v>
      </c>
      <c r="J201" s="2">
        <v>30</v>
      </c>
      <c r="K201" s="2">
        <v>30</v>
      </c>
    </row>
    <row r="202" spans="1:11" x14ac:dyDescent="0.3">
      <c r="A202">
        <v>941</v>
      </c>
      <c r="B202" s="1">
        <v>45004</v>
      </c>
      <c r="C202" s="3">
        <f t="shared" si="6"/>
        <v>2023</v>
      </c>
      <c r="D202" s="3">
        <f t="shared" si="7"/>
        <v>3</v>
      </c>
      <c r="E202" t="s">
        <v>543</v>
      </c>
      <c r="F202" t="s">
        <v>1023</v>
      </c>
      <c r="G202">
        <v>57</v>
      </c>
      <c r="H202" t="s">
        <v>3</v>
      </c>
      <c r="I202" s="3">
        <v>2</v>
      </c>
      <c r="J202" s="2">
        <v>25</v>
      </c>
      <c r="K202" s="2">
        <v>50</v>
      </c>
    </row>
    <row r="203" spans="1:11" x14ac:dyDescent="0.3">
      <c r="A203">
        <v>136</v>
      </c>
      <c r="B203" s="1">
        <v>45005</v>
      </c>
      <c r="C203" s="3">
        <f t="shared" si="6"/>
        <v>2023</v>
      </c>
      <c r="D203" s="3">
        <f t="shared" si="7"/>
        <v>3</v>
      </c>
      <c r="E203" t="s">
        <v>734</v>
      </c>
      <c r="F203" t="s">
        <v>1022</v>
      </c>
      <c r="G203">
        <v>44</v>
      </c>
      <c r="H203" t="s">
        <v>4</v>
      </c>
      <c r="I203" s="3">
        <v>2</v>
      </c>
      <c r="J203" s="2">
        <v>300</v>
      </c>
      <c r="K203" s="2">
        <v>600</v>
      </c>
    </row>
    <row r="204" spans="1:11" x14ac:dyDescent="0.3">
      <c r="A204">
        <v>175</v>
      </c>
      <c r="B204" s="1">
        <v>45005</v>
      </c>
      <c r="C204" s="3">
        <f t="shared" si="6"/>
        <v>2023</v>
      </c>
      <c r="D204" s="3">
        <f t="shared" si="7"/>
        <v>3</v>
      </c>
      <c r="E204" t="s">
        <v>196</v>
      </c>
      <c r="F204" t="s">
        <v>1023</v>
      </c>
      <c r="G204">
        <v>31</v>
      </c>
      <c r="H204" t="s">
        <v>4</v>
      </c>
      <c r="I204" s="3">
        <v>4</v>
      </c>
      <c r="J204" s="2">
        <v>25</v>
      </c>
      <c r="K204" s="2">
        <v>100</v>
      </c>
    </row>
    <row r="205" spans="1:11" x14ac:dyDescent="0.3">
      <c r="A205">
        <v>663</v>
      </c>
      <c r="B205" s="1">
        <v>45005</v>
      </c>
      <c r="C205" s="3">
        <f t="shared" si="6"/>
        <v>2023</v>
      </c>
      <c r="D205" s="3">
        <f t="shared" si="7"/>
        <v>3</v>
      </c>
      <c r="E205" t="s">
        <v>20</v>
      </c>
      <c r="F205" t="s">
        <v>1022</v>
      </c>
      <c r="G205">
        <v>23</v>
      </c>
      <c r="H205" t="s">
        <v>3</v>
      </c>
      <c r="I205" s="3">
        <v>4</v>
      </c>
      <c r="J205" s="2">
        <v>300</v>
      </c>
      <c r="K205" s="2">
        <v>1200</v>
      </c>
    </row>
    <row r="206" spans="1:11" x14ac:dyDescent="0.3">
      <c r="A206">
        <v>748</v>
      </c>
      <c r="B206" s="1">
        <v>45005</v>
      </c>
      <c r="C206" s="3">
        <f t="shared" si="6"/>
        <v>2023</v>
      </c>
      <c r="D206" s="3">
        <f t="shared" si="7"/>
        <v>3</v>
      </c>
      <c r="E206" t="s">
        <v>323</v>
      </c>
      <c r="F206" t="s">
        <v>1022</v>
      </c>
      <c r="G206">
        <v>25</v>
      </c>
      <c r="H206" t="s">
        <v>3</v>
      </c>
      <c r="I206" s="3">
        <v>3</v>
      </c>
      <c r="J206" s="2">
        <v>50</v>
      </c>
      <c r="K206" s="2">
        <v>150</v>
      </c>
    </row>
    <row r="207" spans="1:11" x14ac:dyDescent="0.3">
      <c r="A207">
        <v>806</v>
      </c>
      <c r="B207" s="1">
        <v>45005</v>
      </c>
      <c r="C207" s="3">
        <f t="shared" si="6"/>
        <v>2023</v>
      </c>
      <c r="D207" s="3">
        <f t="shared" si="7"/>
        <v>3</v>
      </c>
      <c r="E207" t="s">
        <v>322</v>
      </c>
      <c r="F207" t="s">
        <v>1023</v>
      </c>
      <c r="G207">
        <v>35</v>
      </c>
      <c r="H207" t="s">
        <v>2</v>
      </c>
      <c r="I207" s="3">
        <v>3</v>
      </c>
      <c r="J207" s="2">
        <v>300</v>
      </c>
      <c r="K207" s="2">
        <v>900</v>
      </c>
    </row>
    <row r="208" spans="1:11" x14ac:dyDescent="0.3">
      <c r="A208">
        <v>38</v>
      </c>
      <c r="B208" s="1">
        <v>45006</v>
      </c>
      <c r="C208" s="3">
        <f t="shared" si="6"/>
        <v>2023</v>
      </c>
      <c r="D208" s="3">
        <f t="shared" si="7"/>
        <v>3</v>
      </c>
      <c r="E208" t="s">
        <v>212</v>
      </c>
      <c r="F208" t="s">
        <v>1022</v>
      </c>
      <c r="G208">
        <v>38</v>
      </c>
      <c r="H208" t="s">
        <v>2</v>
      </c>
      <c r="I208" s="3">
        <v>4</v>
      </c>
      <c r="J208" s="2">
        <v>50</v>
      </c>
      <c r="K208" s="2">
        <v>200</v>
      </c>
    </row>
    <row r="209" spans="1:11" x14ac:dyDescent="0.3">
      <c r="A209">
        <v>313</v>
      </c>
      <c r="B209" s="1">
        <v>45006</v>
      </c>
      <c r="C209" s="3">
        <f t="shared" si="6"/>
        <v>2023</v>
      </c>
      <c r="D209" s="3">
        <f t="shared" si="7"/>
        <v>3</v>
      </c>
      <c r="E209" t="s">
        <v>512</v>
      </c>
      <c r="F209" t="s">
        <v>1023</v>
      </c>
      <c r="G209">
        <v>55</v>
      </c>
      <c r="H209" t="s">
        <v>2</v>
      </c>
      <c r="I209" s="3">
        <v>3</v>
      </c>
      <c r="J209" s="2">
        <v>500</v>
      </c>
      <c r="K209" s="2">
        <v>1500</v>
      </c>
    </row>
    <row r="210" spans="1:11" x14ac:dyDescent="0.3">
      <c r="A210">
        <v>402</v>
      </c>
      <c r="B210" s="1">
        <v>45006</v>
      </c>
      <c r="C210" s="3">
        <f t="shared" si="6"/>
        <v>2023</v>
      </c>
      <c r="D210" s="3">
        <f t="shared" si="7"/>
        <v>3</v>
      </c>
      <c r="E210" t="s">
        <v>668</v>
      </c>
      <c r="F210" t="s">
        <v>1023</v>
      </c>
      <c r="G210">
        <v>41</v>
      </c>
      <c r="H210" t="s">
        <v>3</v>
      </c>
      <c r="I210" s="3">
        <v>2</v>
      </c>
      <c r="J210" s="2">
        <v>300</v>
      </c>
      <c r="K210" s="2">
        <v>600</v>
      </c>
    </row>
    <row r="211" spans="1:11" x14ac:dyDescent="0.3">
      <c r="A211">
        <v>459</v>
      </c>
      <c r="B211" s="1">
        <v>45006</v>
      </c>
      <c r="C211" s="3">
        <f t="shared" si="6"/>
        <v>2023</v>
      </c>
      <c r="D211" s="3">
        <f t="shared" si="7"/>
        <v>3</v>
      </c>
      <c r="E211" t="s">
        <v>145</v>
      </c>
      <c r="F211" t="s">
        <v>1022</v>
      </c>
      <c r="G211">
        <v>28</v>
      </c>
      <c r="H211" t="s">
        <v>3</v>
      </c>
      <c r="I211" s="3">
        <v>4</v>
      </c>
      <c r="J211" s="2">
        <v>300</v>
      </c>
      <c r="K211" s="2">
        <v>1200</v>
      </c>
    </row>
    <row r="212" spans="1:11" x14ac:dyDescent="0.3">
      <c r="A212">
        <v>161</v>
      </c>
      <c r="B212" s="1">
        <v>45007</v>
      </c>
      <c r="C212" s="3">
        <f t="shared" si="6"/>
        <v>2023</v>
      </c>
      <c r="D212" s="3">
        <f t="shared" si="7"/>
        <v>3</v>
      </c>
      <c r="E212" t="s">
        <v>691</v>
      </c>
      <c r="F212" t="s">
        <v>1022</v>
      </c>
      <c r="G212">
        <v>64</v>
      </c>
      <c r="H212" t="s">
        <v>2</v>
      </c>
      <c r="I212" s="3">
        <v>2</v>
      </c>
      <c r="J212" s="2">
        <v>500</v>
      </c>
      <c r="K212" s="2">
        <v>1000</v>
      </c>
    </row>
    <row r="213" spans="1:11" x14ac:dyDescent="0.3">
      <c r="A213">
        <v>328</v>
      </c>
      <c r="B213" s="1">
        <v>45007</v>
      </c>
      <c r="C213" s="3">
        <f t="shared" si="6"/>
        <v>2023</v>
      </c>
      <c r="D213" s="3">
        <f t="shared" si="7"/>
        <v>3</v>
      </c>
      <c r="E213" t="s">
        <v>715</v>
      </c>
      <c r="F213" t="s">
        <v>1022</v>
      </c>
      <c r="G213">
        <v>39</v>
      </c>
      <c r="H213" t="s">
        <v>2</v>
      </c>
      <c r="I213" s="3">
        <v>2</v>
      </c>
      <c r="J213" s="2">
        <v>50</v>
      </c>
      <c r="K213" s="2">
        <v>100</v>
      </c>
    </row>
    <row r="214" spans="1:11" x14ac:dyDescent="0.3">
      <c r="A214">
        <v>383</v>
      </c>
      <c r="B214" s="1">
        <v>45007</v>
      </c>
      <c r="C214" s="3">
        <f t="shared" si="6"/>
        <v>2023</v>
      </c>
      <c r="D214" s="3">
        <f t="shared" si="7"/>
        <v>3</v>
      </c>
      <c r="E214" t="s">
        <v>420</v>
      </c>
      <c r="F214" t="s">
        <v>1023</v>
      </c>
      <c r="G214">
        <v>46</v>
      </c>
      <c r="H214" t="s">
        <v>2</v>
      </c>
      <c r="I214" s="3">
        <v>3</v>
      </c>
      <c r="J214" s="2">
        <v>30</v>
      </c>
      <c r="K214" s="2">
        <v>90</v>
      </c>
    </row>
    <row r="215" spans="1:11" x14ac:dyDescent="0.3">
      <c r="A215">
        <v>973</v>
      </c>
      <c r="B215" s="1">
        <v>45007</v>
      </c>
      <c r="C215" s="3">
        <f t="shared" si="6"/>
        <v>2023</v>
      </c>
      <c r="D215" s="3">
        <f t="shared" si="7"/>
        <v>3</v>
      </c>
      <c r="E215" t="s">
        <v>829</v>
      </c>
      <c r="F215" t="s">
        <v>1022</v>
      </c>
      <c r="G215">
        <v>60</v>
      </c>
      <c r="H215" t="s">
        <v>3</v>
      </c>
      <c r="I215" s="3">
        <v>1</v>
      </c>
      <c r="J215" s="2">
        <v>50</v>
      </c>
      <c r="K215" s="2">
        <v>50</v>
      </c>
    </row>
    <row r="216" spans="1:11" x14ac:dyDescent="0.3">
      <c r="A216">
        <v>978</v>
      </c>
      <c r="B216" s="1">
        <v>45007</v>
      </c>
      <c r="C216" s="3">
        <f t="shared" si="6"/>
        <v>2023</v>
      </c>
      <c r="D216" s="3">
        <f t="shared" si="7"/>
        <v>3</v>
      </c>
      <c r="E216" t="s">
        <v>357</v>
      </c>
      <c r="F216" t="s">
        <v>1023</v>
      </c>
      <c r="G216">
        <v>53</v>
      </c>
      <c r="H216" t="s">
        <v>3</v>
      </c>
      <c r="I216" s="3">
        <v>3</v>
      </c>
      <c r="J216" s="2">
        <v>50</v>
      </c>
      <c r="K216" s="2">
        <v>150</v>
      </c>
    </row>
    <row r="217" spans="1:11" x14ac:dyDescent="0.3">
      <c r="A217">
        <v>33</v>
      </c>
      <c r="B217" s="1">
        <v>45008</v>
      </c>
      <c r="C217" s="3">
        <f t="shared" si="6"/>
        <v>2023</v>
      </c>
      <c r="D217" s="3">
        <f t="shared" si="7"/>
        <v>3</v>
      </c>
      <c r="E217" t="s">
        <v>702</v>
      </c>
      <c r="F217" t="s">
        <v>1023</v>
      </c>
      <c r="G217">
        <v>50</v>
      </c>
      <c r="H217" t="s">
        <v>4</v>
      </c>
      <c r="I217" s="3">
        <v>2</v>
      </c>
      <c r="J217" s="2">
        <v>50</v>
      </c>
      <c r="K217" s="2">
        <v>100</v>
      </c>
    </row>
    <row r="218" spans="1:11" x14ac:dyDescent="0.3">
      <c r="A218">
        <v>138</v>
      </c>
      <c r="B218" s="1">
        <v>45008</v>
      </c>
      <c r="C218" s="3">
        <f t="shared" si="6"/>
        <v>2023</v>
      </c>
      <c r="D218" s="3">
        <f t="shared" si="7"/>
        <v>3</v>
      </c>
      <c r="E218" t="s">
        <v>266</v>
      </c>
      <c r="F218" t="s">
        <v>1022</v>
      </c>
      <c r="G218">
        <v>49</v>
      </c>
      <c r="H218" t="s">
        <v>3</v>
      </c>
      <c r="I218" s="3">
        <v>4</v>
      </c>
      <c r="J218" s="2">
        <v>50</v>
      </c>
      <c r="K218" s="2">
        <v>200</v>
      </c>
    </row>
    <row r="219" spans="1:11" x14ac:dyDescent="0.3">
      <c r="A219">
        <v>471</v>
      </c>
      <c r="B219" s="1">
        <v>45008</v>
      </c>
      <c r="C219" s="3">
        <f t="shared" si="6"/>
        <v>2023</v>
      </c>
      <c r="D219" s="3">
        <f t="shared" si="7"/>
        <v>3</v>
      </c>
      <c r="E219" t="s">
        <v>388</v>
      </c>
      <c r="F219" t="s">
        <v>1022</v>
      </c>
      <c r="G219">
        <v>32</v>
      </c>
      <c r="H219" t="s">
        <v>3</v>
      </c>
      <c r="I219" s="3">
        <v>3</v>
      </c>
      <c r="J219" s="2">
        <v>50</v>
      </c>
      <c r="K219" s="2">
        <v>150</v>
      </c>
    </row>
    <row r="220" spans="1:11" x14ac:dyDescent="0.3">
      <c r="A220">
        <v>636</v>
      </c>
      <c r="B220" s="1">
        <v>45008</v>
      </c>
      <c r="C220" s="3">
        <f t="shared" si="6"/>
        <v>2023</v>
      </c>
      <c r="D220" s="3">
        <f t="shared" si="7"/>
        <v>3</v>
      </c>
      <c r="E220" t="s">
        <v>395</v>
      </c>
      <c r="F220" t="s">
        <v>1023</v>
      </c>
      <c r="G220">
        <v>21</v>
      </c>
      <c r="H220" t="s">
        <v>2</v>
      </c>
      <c r="I220" s="3">
        <v>3</v>
      </c>
      <c r="J220" s="2">
        <v>500</v>
      </c>
      <c r="K220" s="2">
        <v>1500</v>
      </c>
    </row>
    <row r="221" spans="1:11" x14ac:dyDescent="0.3">
      <c r="A221">
        <v>177</v>
      </c>
      <c r="B221" s="1">
        <v>45009</v>
      </c>
      <c r="C221" s="3">
        <f t="shared" si="6"/>
        <v>2023</v>
      </c>
      <c r="D221" s="3">
        <f t="shared" si="7"/>
        <v>3</v>
      </c>
      <c r="E221" t="s">
        <v>688</v>
      </c>
      <c r="F221" t="s">
        <v>1022</v>
      </c>
      <c r="G221">
        <v>45</v>
      </c>
      <c r="H221" t="s">
        <v>2</v>
      </c>
      <c r="I221" s="3">
        <v>2</v>
      </c>
      <c r="J221" s="2">
        <v>50</v>
      </c>
      <c r="K221" s="2">
        <v>100</v>
      </c>
    </row>
    <row r="222" spans="1:11" x14ac:dyDescent="0.3">
      <c r="A222">
        <v>426</v>
      </c>
      <c r="B222" s="1">
        <v>45009</v>
      </c>
      <c r="C222" s="3">
        <f t="shared" si="6"/>
        <v>2023</v>
      </c>
      <c r="D222" s="3">
        <f t="shared" si="7"/>
        <v>3</v>
      </c>
      <c r="E222" t="s">
        <v>435</v>
      </c>
      <c r="F222" t="s">
        <v>1022</v>
      </c>
      <c r="G222">
        <v>23</v>
      </c>
      <c r="H222" t="s">
        <v>4</v>
      </c>
      <c r="I222" s="3">
        <v>3</v>
      </c>
      <c r="J222" s="2">
        <v>50</v>
      </c>
      <c r="K222" s="2">
        <v>150</v>
      </c>
    </row>
    <row r="223" spans="1:11" x14ac:dyDescent="0.3">
      <c r="A223">
        <v>76</v>
      </c>
      <c r="B223" s="1">
        <v>45010</v>
      </c>
      <c r="C223" s="3">
        <f t="shared" si="6"/>
        <v>2023</v>
      </c>
      <c r="D223" s="3">
        <f t="shared" si="7"/>
        <v>3</v>
      </c>
      <c r="E223" t="s">
        <v>733</v>
      </c>
      <c r="F223" t="s">
        <v>1023</v>
      </c>
      <c r="G223">
        <v>22</v>
      </c>
      <c r="H223" t="s">
        <v>4</v>
      </c>
      <c r="I223" s="3">
        <v>2</v>
      </c>
      <c r="J223" s="2">
        <v>50</v>
      </c>
      <c r="K223" s="2">
        <v>100</v>
      </c>
    </row>
    <row r="224" spans="1:11" x14ac:dyDescent="0.3">
      <c r="A224">
        <v>91</v>
      </c>
      <c r="B224" s="1">
        <v>45010</v>
      </c>
      <c r="C224" s="3">
        <f t="shared" si="6"/>
        <v>2023</v>
      </c>
      <c r="D224" s="3">
        <f t="shared" si="7"/>
        <v>3</v>
      </c>
      <c r="E224" t="s">
        <v>992</v>
      </c>
      <c r="F224" t="s">
        <v>1023</v>
      </c>
      <c r="G224">
        <v>55</v>
      </c>
      <c r="H224" t="s">
        <v>4</v>
      </c>
      <c r="I224" s="3">
        <v>1</v>
      </c>
      <c r="J224" s="2">
        <v>500</v>
      </c>
      <c r="K224" s="2">
        <v>500</v>
      </c>
    </row>
    <row r="225" spans="1:11" x14ac:dyDescent="0.3">
      <c r="A225">
        <v>461</v>
      </c>
      <c r="B225" s="1">
        <v>45010</v>
      </c>
      <c r="C225" s="3">
        <f t="shared" si="6"/>
        <v>2023</v>
      </c>
      <c r="D225" s="3">
        <f t="shared" si="7"/>
        <v>3</v>
      </c>
      <c r="E225" t="s">
        <v>603</v>
      </c>
      <c r="F225" t="s">
        <v>1023</v>
      </c>
      <c r="G225">
        <v>18</v>
      </c>
      <c r="H225" t="s">
        <v>2</v>
      </c>
      <c r="I225" s="3">
        <v>2</v>
      </c>
      <c r="J225" s="2">
        <v>500</v>
      </c>
      <c r="K225" s="2">
        <v>1000</v>
      </c>
    </row>
    <row r="226" spans="1:11" x14ac:dyDescent="0.3">
      <c r="A226">
        <v>764</v>
      </c>
      <c r="B226" s="1">
        <v>45010</v>
      </c>
      <c r="C226" s="3">
        <f t="shared" si="6"/>
        <v>2023</v>
      </c>
      <c r="D226" s="3">
        <f t="shared" si="7"/>
        <v>3</v>
      </c>
      <c r="E226" t="s">
        <v>821</v>
      </c>
      <c r="F226" t="s">
        <v>1023</v>
      </c>
      <c r="G226">
        <v>40</v>
      </c>
      <c r="H226" t="s">
        <v>3</v>
      </c>
      <c r="I226" s="3">
        <v>1</v>
      </c>
      <c r="J226" s="2">
        <v>25</v>
      </c>
      <c r="K226" s="2">
        <v>25</v>
      </c>
    </row>
    <row r="227" spans="1:11" x14ac:dyDescent="0.3">
      <c r="A227">
        <v>202</v>
      </c>
      <c r="B227" s="1">
        <v>45011</v>
      </c>
      <c r="C227" s="3">
        <f t="shared" si="6"/>
        <v>2023</v>
      </c>
      <c r="D227" s="3">
        <f t="shared" si="7"/>
        <v>3</v>
      </c>
      <c r="E227" t="s">
        <v>247</v>
      </c>
      <c r="F227" t="s">
        <v>1023</v>
      </c>
      <c r="G227">
        <v>34</v>
      </c>
      <c r="H227" t="s">
        <v>3</v>
      </c>
      <c r="I227" s="3">
        <v>4</v>
      </c>
      <c r="J227" s="2">
        <v>300</v>
      </c>
      <c r="K227" s="2">
        <v>1200</v>
      </c>
    </row>
    <row r="228" spans="1:11" x14ac:dyDescent="0.3">
      <c r="A228">
        <v>301</v>
      </c>
      <c r="B228" s="1">
        <v>45011</v>
      </c>
      <c r="C228" s="3">
        <f t="shared" si="6"/>
        <v>2023</v>
      </c>
      <c r="D228" s="3">
        <f t="shared" si="7"/>
        <v>3</v>
      </c>
      <c r="E228" t="s">
        <v>273</v>
      </c>
      <c r="F228" t="s">
        <v>1022</v>
      </c>
      <c r="G228">
        <v>30</v>
      </c>
      <c r="H228" t="s">
        <v>3</v>
      </c>
      <c r="I228" s="3">
        <v>4</v>
      </c>
      <c r="J228" s="2">
        <v>30</v>
      </c>
      <c r="K228" s="2">
        <v>120</v>
      </c>
    </row>
    <row r="229" spans="1:11" x14ac:dyDescent="0.3">
      <c r="A229">
        <v>703</v>
      </c>
      <c r="B229" s="1">
        <v>45011</v>
      </c>
      <c r="C229" s="3">
        <f t="shared" si="6"/>
        <v>2023</v>
      </c>
      <c r="D229" s="3">
        <f t="shared" si="7"/>
        <v>3</v>
      </c>
      <c r="E229" t="s">
        <v>588</v>
      </c>
      <c r="F229" t="s">
        <v>1022</v>
      </c>
      <c r="G229">
        <v>34</v>
      </c>
      <c r="H229" t="s">
        <v>4</v>
      </c>
      <c r="I229" s="3">
        <v>2</v>
      </c>
      <c r="J229" s="2">
        <v>50</v>
      </c>
      <c r="K229" s="2">
        <v>100</v>
      </c>
    </row>
    <row r="230" spans="1:11" x14ac:dyDescent="0.3">
      <c r="A230">
        <v>294</v>
      </c>
      <c r="B230" s="1">
        <v>45012</v>
      </c>
      <c r="C230" s="3">
        <f t="shared" si="6"/>
        <v>2023</v>
      </c>
      <c r="D230" s="3">
        <f t="shared" si="7"/>
        <v>3</v>
      </c>
      <c r="E230" t="s">
        <v>474</v>
      </c>
      <c r="F230" t="s">
        <v>1023</v>
      </c>
      <c r="G230">
        <v>23</v>
      </c>
      <c r="H230" t="s">
        <v>3</v>
      </c>
      <c r="I230" s="3">
        <v>3</v>
      </c>
      <c r="J230" s="2">
        <v>30</v>
      </c>
      <c r="K230" s="2">
        <v>90</v>
      </c>
    </row>
    <row r="231" spans="1:11" x14ac:dyDescent="0.3">
      <c r="A231">
        <v>760</v>
      </c>
      <c r="B231" s="1">
        <v>45012</v>
      </c>
      <c r="C231" s="3">
        <f t="shared" si="6"/>
        <v>2023</v>
      </c>
      <c r="D231" s="3">
        <f t="shared" si="7"/>
        <v>3</v>
      </c>
      <c r="E231" t="s">
        <v>853</v>
      </c>
      <c r="F231" t="s">
        <v>1022</v>
      </c>
      <c r="G231">
        <v>27</v>
      </c>
      <c r="H231" t="s">
        <v>2</v>
      </c>
      <c r="I231" s="3">
        <v>1</v>
      </c>
      <c r="J231" s="2">
        <v>500</v>
      </c>
      <c r="K231" s="2">
        <v>500</v>
      </c>
    </row>
    <row r="232" spans="1:11" x14ac:dyDescent="0.3">
      <c r="A232">
        <v>575</v>
      </c>
      <c r="B232" s="1">
        <v>45013</v>
      </c>
      <c r="C232" s="3">
        <f t="shared" si="6"/>
        <v>2023</v>
      </c>
      <c r="D232" s="3">
        <f t="shared" si="7"/>
        <v>3</v>
      </c>
      <c r="E232" t="s">
        <v>660</v>
      </c>
      <c r="F232" t="s">
        <v>1022</v>
      </c>
      <c r="G232">
        <v>60</v>
      </c>
      <c r="H232" t="s">
        <v>3</v>
      </c>
      <c r="I232" s="3">
        <v>2</v>
      </c>
      <c r="J232" s="2">
        <v>50</v>
      </c>
      <c r="K232" s="2">
        <v>100</v>
      </c>
    </row>
    <row r="233" spans="1:11" x14ac:dyDescent="0.3">
      <c r="A233">
        <v>88</v>
      </c>
      <c r="B233" s="1">
        <v>45014</v>
      </c>
      <c r="C233" s="3">
        <f t="shared" si="6"/>
        <v>2023</v>
      </c>
      <c r="D233" s="3">
        <f t="shared" si="7"/>
        <v>3</v>
      </c>
      <c r="E233" t="s">
        <v>968</v>
      </c>
      <c r="F233" t="s">
        <v>1022</v>
      </c>
      <c r="G233">
        <v>56</v>
      </c>
      <c r="H233" t="s">
        <v>3</v>
      </c>
      <c r="I233" s="3">
        <v>1</v>
      </c>
      <c r="J233" s="2">
        <v>500</v>
      </c>
      <c r="K233" s="2">
        <v>500</v>
      </c>
    </row>
    <row r="234" spans="1:11" x14ac:dyDescent="0.3">
      <c r="A234">
        <v>975</v>
      </c>
      <c r="B234" s="1">
        <v>45015</v>
      </c>
      <c r="C234" s="3">
        <f t="shared" si="6"/>
        <v>2023</v>
      </c>
      <c r="D234" s="3">
        <f t="shared" si="7"/>
        <v>3</v>
      </c>
      <c r="E234" t="s">
        <v>30</v>
      </c>
      <c r="F234" t="s">
        <v>1023</v>
      </c>
      <c r="G234">
        <v>56</v>
      </c>
      <c r="H234" t="s">
        <v>3</v>
      </c>
      <c r="I234" s="3">
        <v>4</v>
      </c>
      <c r="J234" s="2">
        <v>50</v>
      </c>
      <c r="K234" s="2">
        <v>200</v>
      </c>
    </row>
    <row r="235" spans="1:11" x14ac:dyDescent="0.3">
      <c r="A235">
        <v>553</v>
      </c>
      <c r="B235" s="1">
        <v>45016</v>
      </c>
      <c r="C235" s="3">
        <f t="shared" si="6"/>
        <v>2023</v>
      </c>
      <c r="D235" s="3">
        <f t="shared" si="7"/>
        <v>3</v>
      </c>
      <c r="E235" t="s">
        <v>126</v>
      </c>
      <c r="F235" t="s">
        <v>1022</v>
      </c>
      <c r="G235">
        <v>24</v>
      </c>
      <c r="H235" t="s">
        <v>3</v>
      </c>
      <c r="I235" s="3">
        <v>4</v>
      </c>
      <c r="J235" s="2">
        <v>300</v>
      </c>
      <c r="K235" s="2">
        <v>1200</v>
      </c>
    </row>
    <row r="236" spans="1:11" x14ac:dyDescent="0.3">
      <c r="A236">
        <v>462</v>
      </c>
      <c r="B236" s="1">
        <v>45017</v>
      </c>
      <c r="C236" s="3">
        <f t="shared" si="6"/>
        <v>2023</v>
      </c>
      <c r="D236" s="3">
        <f t="shared" si="7"/>
        <v>4</v>
      </c>
      <c r="E236" t="s">
        <v>147</v>
      </c>
      <c r="F236" t="s">
        <v>1022</v>
      </c>
      <c r="G236">
        <v>63</v>
      </c>
      <c r="H236" t="s">
        <v>4</v>
      </c>
      <c r="I236" s="3">
        <v>4</v>
      </c>
      <c r="J236" s="2">
        <v>300</v>
      </c>
      <c r="K236" s="2">
        <v>1200</v>
      </c>
    </row>
    <row r="237" spans="1:11" x14ac:dyDescent="0.3">
      <c r="A237">
        <v>614</v>
      </c>
      <c r="B237" s="1">
        <v>45017</v>
      </c>
      <c r="C237" s="3">
        <f t="shared" si="6"/>
        <v>2023</v>
      </c>
      <c r="D237" s="3">
        <f t="shared" si="7"/>
        <v>4</v>
      </c>
      <c r="E237" t="s">
        <v>134</v>
      </c>
      <c r="F237" t="s">
        <v>1023</v>
      </c>
      <c r="G237">
        <v>39</v>
      </c>
      <c r="H237" t="s">
        <v>2</v>
      </c>
      <c r="I237" s="3">
        <v>4</v>
      </c>
      <c r="J237" s="2">
        <v>300</v>
      </c>
      <c r="K237" s="2">
        <v>1200</v>
      </c>
    </row>
    <row r="238" spans="1:11" x14ac:dyDescent="0.3">
      <c r="A238">
        <v>808</v>
      </c>
      <c r="B238" s="1">
        <v>45017</v>
      </c>
      <c r="C238" s="3">
        <f t="shared" si="6"/>
        <v>2023</v>
      </c>
      <c r="D238" s="3">
        <f t="shared" si="7"/>
        <v>4</v>
      </c>
      <c r="E238" t="s">
        <v>100</v>
      </c>
      <c r="F238" t="s">
        <v>1022</v>
      </c>
      <c r="G238">
        <v>33</v>
      </c>
      <c r="H238" t="s">
        <v>2</v>
      </c>
      <c r="I238" s="3">
        <v>4</v>
      </c>
      <c r="J238" s="2">
        <v>500</v>
      </c>
      <c r="K238" s="2">
        <v>2000</v>
      </c>
    </row>
    <row r="239" spans="1:11" x14ac:dyDescent="0.3">
      <c r="A239">
        <v>166</v>
      </c>
      <c r="B239" s="1">
        <v>45018</v>
      </c>
      <c r="C239" s="3">
        <f t="shared" si="6"/>
        <v>2023</v>
      </c>
      <c r="D239" s="3">
        <f t="shared" si="7"/>
        <v>4</v>
      </c>
      <c r="E239" t="s">
        <v>284</v>
      </c>
      <c r="F239" t="s">
        <v>1022</v>
      </c>
      <c r="G239">
        <v>34</v>
      </c>
      <c r="H239" t="s">
        <v>3</v>
      </c>
      <c r="I239" s="3">
        <v>4</v>
      </c>
      <c r="J239" s="2">
        <v>500</v>
      </c>
      <c r="K239" s="2">
        <v>2000</v>
      </c>
    </row>
    <row r="240" spans="1:11" x14ac:dyDescent="0.3">
      <c r="A240">
        <v>465</v>
      </c>
      <c r="B240" s="1">
        <v>45018</v>
      </c>
      <c r="C240" s="3">
        <f t="shared" si="6"/>
        <v>2023</v>
      </c>
      <c r="D240" s="3">
        <f t="shared" si="7"/>
        <v>4</v>
      </c>
      <c r="E240" t="s">
        <v>382</v>
      </c>
      <c r="F240" t="s">
        <v>1023</v>
      </c>
      <c r="G240">
        <v>43</v>
      </c>
      <c r="H240" t="s">
        <v>4</v>
      </c>
      <c r="I240" s="3">
        <v>3</v>
      </c>
      <c r="J240" s="2">
        <v>50</v>
      </c>
      <c r="K240" s="2">
        <v>150</v>
      </c>
    </row>
    <row r="241" spans="1:11" x14ac:dyDescent="0.3">
      <c r="A241">
        <v>502</v>
      </c>
      <c r="B241" s="1">
        <v>45018</v>
      </c>
      <c r="C241" s="3">
        <f t="shared" si="6"/>
        <v>2023</v>
      </c>
      <c r="D241" s="3">
        <f t="shared" si="7"/>
        <v>4</v>
      </c>
      <c r="E241" t="s">
        <v>410</v>
      </c>
      <c r="F241" t="s">
        <v>1022</v>
      </c>
      <c r="G241">
        <v>43</v>
      </c>
      <c r="H241" t="s">
        <v>4</v>
      </c>
      <c r="I241" s="3">
        <v>3</v>
      </c>
      <c r="J241" s="2">
        <v>50</v>
      </c>
      <c r="K241" s="2">
        <v>150</v>
      </c>
    </row>
    <row r="242" spans="1:11" x14ac:dyDescent="0.3">
      <c r="A242">
        <v>905</v>
      </c>
      <c r="B242" s="1">
        <v>45018</v>
      </c>
      <c r="C242" s="3">
        <f t="shared" si="6"/>
        <v>2023</v>
      </c>
      <c r="D242" s="3">
        <f t="shared" si="7"/>
        <v>4</v>
      </c>
      <c r="E242" t="s">
        <v>807</v>
      </c>
      <c r="F242" t="s">
        <v>1022</v>
      </c>
      <c r="G242">
        <v>58</v>
      </c>
      <c r="H242" t="s">
        <v>2</v>
      </c>
      <c r="I242" s="3">
        <v>1</v>
      </c>
      <c r="J242" s="2">
        <v>300</v>
      </c>
      <c r="K242" s="2">
        <v>300</v>
      </c>
    </row>
    <row r="243" spans="1:11" x14ac:dyDescent="0.3">
      <c r="A243">
        <v>280</v>
      </c>
      <c r="B243" s="1">
        <v>45020</v>
      </c>
      <c r="C243" s="3">
        <f t="shared" si="6"/>
        <v>2023</v>
      </c>
      <c r="D243" s="3">
        <f t="shared" si="7"/>
        <v>4</v>
      </c>
      <c r="E243" t="s">
        <v>472</v>
      </c>
      <c r="F243" t="s">
        <v>1023</v>
      </c>
      <c r="G243">
        <v>37</v>
      </c>
      <c r="H243" t="s">
        <v>3</v>
      </c>
      <c r="I243" s="3">
        <v>3</v>
      </c>
      <c r="J243" s="2">
        <v>500</v>
      </c>
      <c r="K243" s="2">
        <v>1500</v>
      </c>
    </row>
    <row r="244" spans="1:11" x14ac:dyDescent="0.3">
      <c r="A244">
        <v>719</v>
      </c>
      <c r="B244" s="1">
        <v>45020</v>
      </c>
      <c r="C244" s="3">
        <f t="shared" si="6"/>
        <v>2023</v>
      </c>
      <c r="D244" s="3">
        <f t="shared" si="7"/>
        <v>4</v>
      </c>
      <c r="E244" t="s">
        <v>554</v>
      </c>
      <c r="F244" t="s">
        <v>1023</v>
      </c>
      <c r="G244">
        <v>42</v>
      </c>
      <c r="H244" t="s">
        <v>3</v>
      </c>
      <c r="I244" s="3">
        <v>2</v>
      </c>
      <c r="J244" s="2">
        <v>30</v>
      </c>
      <c r="K244" s="2">
        <v>60</v>
      </c>
    </row>
    <row r="245" spans="1:11" x14ac:dyDescent="0.3">
      <c r="A245">
        <v>834</v>
      </c>
      <c r="B245" s="1">
        <v>45020</v>
      </c>
      <c r="C245" s="3">
        <f t="shared" si="6"/>
        <v>2023</v>
      </c>
      <c r="D245" s="3">
        <f t="shared" si="7"/>
        <v>4</v>
      </c>
      <c r="E245" t="s">
        <v>530</v>
      </c>
      <c r="F245" t="s">
        <v>1023</v>
      </c>
      <c r="G245">
        <v>56</v>
      </c>
      <c r="H245" t="s">
        <v>2</v>
      </c>
      <c r="I245" s="3">
        <v>2</v>
      </c>
      <c r="J245" s="2">
        <v>30</v>
      </c>
      <c r="K245" s="2">
        <v>60</v>
      </c>
    </row>
    <row r="246" spans="1:11" x14ac:dyDescent="0.3">
      <c r="A246">
        <v>891</v>
      </c>
      <c r="B246" s="1">
        <v>45021</v>
      </c>
      <c r="C246" s="3">
        <f t="shared" si="6"/>
        <v>2023</v>
      </c>
      <c r="D246" s="3">
        <f t="shared" si="7"/>
        <v>4</v>
      </c>
      <c r="E246" t="s">
        <v>307</v>
      </c>
      <c r="F246" t="s">
        <v>1022</v>
      </c>
      <c r="G246">
        <v>41</v>
      </c>
      <c r="H246" t="s">
        <v>4</v>
      </c>
      <c r="I246" s="3">
        <v>3</v>
      </c>
      <c r="J246" s="2">
        <v>300</v>
      </c>
      <c r="K246" s="2">
        <v>900</v>
      </c>
    </row>
    <row r="247" spans="1:11" x14ac:dyDescent="0.3">
      <c r="A247">
        <v>928</v>
      </c>
      <c r="B247" s="1">
        <v>45021</v>
      </c>
      <c r="C247" s="3">
        <f t="shared" si="6"/>
        <v>2023</v>
      </c>
      <c r="D247" s="3">
        <f t="shared" si="7"/>
        <v>4</v>
      </c>
      <c r="E247" t="s">
        <v>53</v>
      </c>
      <c r="F247" t="s">
        <v>1023</v>
      </c>
      <c r="G247">
        <v>35</v>
      </c>
      <c r="H247" t="s">
        <v>3</v>
      </c>
      <c r="I247" s="3">
        <v>4</v>
      </c>
      <c r="J247" s="2">
        <v>300</v>
      </c>
      <c r="K247" s="2">
        <v>1200</v>
      </c>
    </row>
    <row r="248" spans="1:11" x14ac:dyDescent="0.3">
      <c r="A248">
        <v>332</v>
      </c>
      <c r="B248" s="1">
        <v>45022</v>
      </c>
      <c r="C248" s="3">
        <f t="shared" si="6"/>
        <v>2023</v>
      </c>
      <c r="D248" s="3">
        <f t="shared" si="7"/>
        <v>4</v>
      </c>
      <c r="E248" t="s">
        <v>281</v>
      </c>
      <c r="F248" t="s">
        <v>1022</v>
      </c>
      <c r="G248">
        <v>58</v>
      </c>
      <c r="H248" t="s">
        <v>4</v>
      </c>
      <c r="I248" s="3">
        <v>4</v>
      </c>
      <c r="J248" s="2">
        <v>300</v>
      </c>
      <c r="K248" s="2">
        <v>1200</v>
      </c>
    </row>
    <row r="249" spans="1:11" x14ac:dyDescent="0.3">
      <c r="A249">
        <v>255</v>
      </c>
      <c r="B249" s="1">
        <v>45024</v>
      </c>
      <c r="C249" s="3">
        <f t="shared" si="6"/>
        <v>2023</v>
      </c>
      <c r="D249" s="3">
        <f t="shared" si="7"/>
        <v>4</v>
      </c>
      <c r="E249" t="s">
        <v>1004</v>
      </c>
      <c r="F249" t="s">
        <v>1022</v>
      </c>
      <c r="G249">
        <v>48</v>
      </c>
      <c r="H249" t="s">
        <v>3</v>
      </c>
      <c r="I249" s="3">
        <v>1</v>
      </c>
      <c r="J249" s="2">
        <v>30</v>
      </c>
      <c r="K249" s="2">
        <v>30</v>
      </c>
    </row>
    <row r="250" spans="1:11" x14ac:dyDescent="0.3">
      <c r="A250">
        <v>275</v>
      </c>
      <c r="B250" s="1">
        <v>45024</v>
      </c>
      <c r="C250" s="3">
        <f t="shared" si="6"/>
        <v>2023</v>
      </c>
      <c r="D250" s="3">
        <f t="shared" si="7"/>
        <v>4</v>
      </c>
      <c r="E250" t="s">
        <v>727</v>
      </c>
      <c r="F250" t="s">
        <v>1022</v>
      </c>
      <c r="G250">
        <v>43</v>
      </c>
      <c r="H250" t="s">
        <v>3</v>
      </c>
      <c r="I250" s="3">
        <v>2</v>
      </c>
      <c r="J250" s="2">
        <v>500</v>
      </c>
      <c r="K250" s="2">
        <v>1000</v>
      </c>
    </row>
    <row r="251" spans="1:11" x14ac:dyDescent="0.3">
      <c r="A251">
        <v>314</v>
      </c>
      <c r="B251" s="1">
        <v>45024</v>
      </c>
      <c r="C251" s="3">
        <f t="shared" si="6"/>
        <v>2023</v>
      </c>
      <c r="D251" s="3">
        <f t="shared" si="7"/>
        <v>4</v>
      </c>
      <c r="E251" t="s">
        <v>277</v>
      </c>
      <c r="F251" t="s">
        <v>1022</v>
      </c>
      <c r="G251">
        <v>52</v>
      </c>
      <c r="H251" t="s">
        <v>3</v>
      </c>
      <c r="I251" s="3">
        <v>4</v>
      </c>
      <c r="J251" s="2">
        <v>30</v>
      </c>
      <c r="K251" s="2">
        <v>120</v>
      </c>
    </row>
    <row r="252" spans="1:11" x14ac:dyDescent="0.3">
      <c r="A252">
        <v>517</v>
      </c>
      <c r="B252" s="1">
        <v>45024</v>
      </c>
      <c r="C252" s="3">
        <f t="shared" si="6"/>
        <v>2023</v>
      </c>
      <c r="D252" s="3">
        <f t="shared" si="7"/>
        <v>4</v>
      </c>
      <c r="E252" t="s">
        <v>186</v>
      </c>
      <c r="F252" t="s">
        <v>1023</v>
      </c>
      <c r="G252">
        <v>47</v>
      </c>
      <c r="H252" t="s">
        <v>3</v>
      </c>
      <c r="I252" s="3">
        <v>4</v>
      </c>
      <c r="J252" s="2">
        <v>25</v>
      </c>
      <c r="K252" s="2">
        <v>100</v>
      </c>
    </row>
    <row r="253" spans="1:11" x14ac:dyDescent="0.3">
      <c r="A253">
        <v>847</v>
      </c>
      <c r="B253" s="1">
        <v>45024</v>
      </c>
      <c r="C253" s="3">
        <f t="shared" si="6"/>
        <v>2023</v>
      </c>
      <c r="D253" s="3">
        <f t="shared" si="7"/>
        <v>4</v>
      </c>
      <c r="E253" t="s">
        <v>45</v>
      </c>
      <c r="F253" t="s">
        <v>1023</v>
      </c>
      <c r="G253">
        <v>18</v>
      </c>
      <c r="H253" t="s">
        <v>4</v>
      </c>
      <c r="I253" s="3">
        <v>4</v>
      </c>
      <c r="J253" s="2">
        <v>300</v>
      </c>
      <c r="K253" s="2">
        <v>1200</v>
      </c>
    </row>
    <row r="254" spans="1:11" x14ac:dyDescent="0.3">
      <c r="A254">
        <v>61</v>
      </c>
      <c r="B254" s="1">
        <v>45025</v>
      </c>
      <c r="C254" s="3">
        <f t="shared" si="6"/>
        <v>2023</v>
      </c>
      <c r="D254" s="3">
        <f t="shared" si="7"/>
        <v>4</v>
      </c>
      <c r="E254" t="s">
        <v>222</v>
      </c>
      <c r="F254" t="s">
        <v>1022</v>
      </c>
      <c r="G254">
        <v>21</v>
      </c>
      <c r="H254" t="s">
        <v>2</v>
      </c>
      <c r="I254" s="3">
        <v>4</v>
      </c>
      <c r="J254" s="2">
        <v>50</v>
      </c>
      <c r="K254" s="2">
        <v>200</v>
      </c>
    </row>
    <row r="255" spans="1:11" x14ac:dyDescent="0.3">
      <c r="A255">
        <v>274</v>
      </c>
      <c r="B255" s="1">
        <v>45025</v>
      </c>
      <c r="C255" s="3">
        <f t="shared" si="6"/>
        <v>2023</v>
      </c>
      <c r="D255" s="3">
        <f t="shared" si="7"/>
        <v>4</v>
      </c>
      <c r="E255" t="s">
        <v>699</v>
      </c>
      <c r="F255" t="s">
        <v>1023</v>
      </c>
      <c r="G255">
        <v>23</v>
      </c>
      <c r="H255" t="s">
        <v>3</v>
      </c>
      <c r="I255" s="3">
        <v>2</v>
      </c>
      <c r="J255" s="2">
        <v>500</v>
      </c>
      <c r="K255" s="2">
        <v>1000</v>
      </c>
    </row>
    <row r="256" spans="1:11" x14ac:dyDescent="0.3">
      <c r="A256">
        <v>486</v>
      </c>
      <c r="B256" s="1">
        <v>45025</v>
      </c>
      <c r="C256" s="3">
        <f t="shared" si="6"/>
        <v>2023</v>
      </c>
      <c r="D256" s="3">
        <f t="shared" si="7"/>
        <v>4</v>
      </c>
      <c r="E256" t="s">
        <v>897</v>
      </c>
      <c r="F256" t="s">
        <v>1023</v>
      </c>
      <c r="G256">
        <v>35</v>
      </c>
      <c r="H256" t="s">
        <v>4</v>
      </c>
      <c r="I256" s="3">
        <v>1</v>
      </c>
      <c r="J256" s="2">
        <v>25</v>
      </c>
      <c r="K256" s="2">
        <v>25</v>
      </c>
    </row>
    <row r="257" spans="1:11" x14ac:dyDescent="0.3">
      <c r="A257">
        <v>548</v>
      </c>
      <c r="B257" s="1">
        <v>45025</v>
      </c>
      <c r="C257" s="3">
        <f t="shared" si="6"/>
        <v>2023</v>
      </c>
      <c r="D257" s="3">
        <f t="shared" si="7"/>
        <v>4</v>
      </c>
      <c r="E257" t="s">
        <v>634</v>
      </c>
      <c r="F257" t="s">
        <v>1023</v>
      </c>
      <c r="G257">
        <v>51</v>
      </c>
      <c r="H257" t="s">
        <v>3</v>
      </c>
      <c r="I257" s="3">
        <v>2</v>
      </c>
      <c r="J257" s="2">
        <v>30</v>
      </c>
      <c r="K257" s="2">
        <v>60</v>
      </c>
    </row>
    <row r="258" spans="1:11" x14ac:dyDescent="0.3">
      <c r="A258">
        <v>886</v>
      </c>
      <c r="B258" s="1">
        <v>45025</v>
      </c>
      <c r="C258" s="3">
        <f t="shared" ref="C258:C321" si="8">YEAR(B258)</f>
        <v>2023</v>
      </c>
      <c r="D258" s="3">
        <f t="shared" ref="D258:D321" si="9">MONTH(B258)</f>
        <v>4</v>
      </c>
      <c r="E258" t="s">
        <v>286</v>
      </c>
      <c r="F258" t="s">
        <v>1022</v>
      </c>
      <c r="G258">
        <v>37</v>
      </c>
      <c r="H258" t="s">
        <v>4</v>
      </c>
      <c r="I258" s="3">
        <v>3</v>
      </c>
      <c r="J258" s="2">
        <v>300</v>
      </c>
      <c r="K258" s="2">
        <v>900</v>
      </c>
    </row>
    <row r="259" spans="1:11" x14ac:dyDescent="0.3">
      <c r="A259">
        <v>892</v>
      </c>
      <c r="B259" s="1">
        <v>45025</v>
      </c>
      <c r="C259" s="3">
        <f t="shared" si="8"/>
        <v>2023</v>
      </c>
      <c r="D259" s="3">
        <f t="shared" si="9"/>
        <v>4</v>
      </c>
      <c r="E259" t="s">
        <v>827</v>
      </c>
      <c r="F259" t="s">
        <v>1022</v>
      </c>
      <c r="G259">
        <v>20</v>
      </c>
      <c r="H259" t="s">
        <v>4</v>
      </c>
      <c r="I259" s="3">
        <v>1</v>
      </c>
      <c r="J259" s="2">
        <v>50</v>
      </c>
      <c r="K259" s="2">
        <v>50</v>
      </c>
    </row>
    <row r="260" spans="1:11" x14ac:dyDescent="0.3">
      <c r="A260">
        <v>601</v>
      </c>
      <c r="B260" s="1">
        <v>45026</v>
      </c>
      <c r="C260" s="3">
        <f t="shared" si="8"/>
        <v>2023</v>
      </c>
      <c r="D260" s="3">
        <f t="shared" si="9"/>
        <v>4</v>
      </c>
      <c r="E260" t="s">
        <v>877</v>
      </c>
      <c r="F260" t="s">
        <v>1022</v>
      </c>
      <c r="G260">
        <v>19</v>
      </c>
      <c r="H260" t="s">
        <v>3</v>
      </c>
      <c r="I260" s="3">
        <v>1</v>
      </c>
      <c r="J260" s="2">
        <v>30</v>
      </c>
      <c r="K260" s="2">
        <v>30</v>
      </c>
    </row>
    <row r="261" spans="1:11" x14ac:dyDescent="0.3">
      <c r="A261">
        <v>901</v>
      </c>
      <c r="B261" s="1">
        <v>45026</v>
      </c>
      <c r="C261" s="3">
        <f t="shared" si="8"/>
        <v>2023</v>
      </c>
      <c r="D261" s="3">
        <f t="shared" si="9"/>
        <v>4</v>
      </c>
      <c r="E261" t="s">
        <v>847</v>
      </c>
      <c r="F261" t="s">
        <v>1022</v>
      </c>
      <c r="G261">
        <v>31</v>
      </c>
      <c r="H261" t="s">
        <v>4</v>
      </c>
      <c r="I261" s="3">
        <v>1</v>
      </c>
      <c r="J261" s="2">
        <v>30</v>
      </c>
      <c r="K261" s="2">
        <v>30</v>
      </c>
    </row>
    <row r="262" spans="1:11" x14ac:dyDescent="0.3">
      <c r="A262">
        <v>527</v>
      </c>
      <c r="B262" s="1">
        <v>45027</v>
      </c>
      <c r="C262" s="3">
        <f t="shared" si="8"/>
        <v>2023</v>
      </c>
      <c r="D262" s="3">
        <f t="shared" si="9"/>
        <v>4</v>
      </c>
      <c r="E262" t="s">
        <v>614</v>
      </c>
      <c r="F262" t="s">
        <v>1022</v>
      </c>
      <c r="G262">
        <v>57</v>
      </c>
      <c r="H262" t="s">
        <v>3</v>
      </c>
      <c r="I262" s="3">
        <v>2</v>
      </c>
      <c r="J262" s="2">
        <v>25</v>
      </c>
      <c r="K262" s="2">
        <v>50</v>
      </c>
    </row>
    <row r="263" spans="1:11" x14ac:dyDescent="0.3">
      <c r="A263">
        <v>23</v>
      </c>
      <c r="B263" s="1">
        <v>45028</v>
      </c>
      <c r="C263" s="3">
        <f t="shared" si="8"/>
        <v>2023</v>
      </c>
      <c r="D263" s="3">
        <f t="shared" si="9"/>
        <v>4</v>
      </c>
      <c r="E263" t="s">
        <v>208</v>
      </c>
      <c r="F263" t="s">
        <v>1023</v>
      </c>
      <c r="G263">
        <v>35</v>
      </c>
      <c r="H263" t="s">
        <v>3</v>
      </c>
      <c r="I263" s="3">
        <v>4</v>
      </c>
      <c r="J263" s="2">
        <v>30</v>
      </c>
      <c r="K263" s="2">
        <v>120</v>
      </c>
    </row>
    <row r="264" spans="1:11" x14ac:dyDescent="0.3">
      <c r="A264">
        <v>174</v>
      </c>
      <c r="B264" s="1">
        <v>45028</v>
      </c>
      <c r="C264" s="3">
        <f t="shared" si="8"/>
        <v>2023</v>
      </c>
      <c r="D264" s="3">
        <f t="shared" si="9"/>
        <v>4</v>
      </c>
      <c r="E264" t="s">
        <v>941</v>
      </c>
      <c r="F264" t="s">
        <v>1023</v>
      </c>
      <c r="G264">
        <v>39</v>
      </c>
      <c r="H264" t="s">
        <v>2</v>
      </c>
      <c r="I264" s="3">
        <v>1</v>
      </c>
      <c r="J264" s="2">
        <v>300</v>
      </c>
      <c r="K264" s="2">
        <v>300</v>
      </c>
    </row>
    <row r="265" spans="1:11" x14ac:dyDescent="0.3">
      <c r="A265">
        <v>589</v>
      </c>
      <c r="B265" s="1">
        <v>45028</v>
      </c>
      <c r="C265" s="3">
        <f t="shared" si="8"/>
        <v>2023</v>
      </c>
      <c r="D265" s="3">
        <f t="shared" si="9"/>
        <v>4</v>
      </c>
      <c r="E265" t="s">
        <v>674</v>
      </c>
      <c r="F265" t="s">
        <v>1023</v>
      </c>
      <c r="G265">
        <v>36</v>
      </c>
      <c r="H265" t="s">
        <v>2</v>
      </c>
      <c r="I265" s="3">
        <v>2</v>
      </c>
      <c r="J265" s="2">
        <v>500</v>
      </c>
      <c r="K265" s="2">
        <v>1000</v>
      </c>
    </row>
    <row r="266" spans="1:11" x14ac:dyDescent="0.3">
      <c r="A266">
        <v>774</v>
      </c>
      <c r="B266" s="1">
        <v>45028</v>
      </c>
      <c r="C266" s="3">
        <f t="shared" si="8"/>
        <v>2023</v>
      </c>
      <c r="D266" s="3">
        <f t="shared" si="9"/>
        <v>4</v>
      </c>
      <c r="E266" t="s">
        <v>553</v>
      </c>
      <c r="F266" t="s">
        <v>1023</v>
      </c>
      <c r="G266">
        <v>40</v>
      </c>
      <c r="H266" t="s">
        <v>3</v>
      </c>
      <c r="I266" s="3">
        <v>2</v>
      </c>
      <c r="J266" s="2">
        <v>25</v>
      </c>
      <c r="K266" s="2">
        <v>50</v>
      </c>
    </row>
    <row r="267" spans="1:11" x14ac:dyDescent="0.3">
      <c r="A267">
        <v>1000</v>
      </c>
      <c r="B267" s="1">
        <v>45028</v>
      </c>
      <c r="C267" s="3">
        <f t="shared" si="8"/>
        <v>2023</v>
      </c>
      <c r="D267" s="3">
        <f t="shared" si="9"/>
        <v>4</v>
      </c>
      <c r="E267" t="s">
        <v>248</v>
      </c>
      <c r="F267" t="s">
        <v>1022</v>
      </c>
      <c r="G267">
        <v>47</v>
      </c>
      <c r="H267" t="s">
        <v>4</v>
      </c>
      <c r="I267" s="3">
        <v>4</v>
      </c>
      <c r="J267" s="2">
        <v>30</v>
      </c>
      <c r="K267" s="2">
        <v>120</v>
      </c>
    </row>
    <row r="268" spans="1:11" x14ac:dyDescent="0.3">
      <c r="A268">
        <v>210</v>
      </c>
      <c r="B268" s="1">
        <v>45029</v>
      </c>
      <c r="C268" s="3">
        <f t="shared" si="8"/>
        <v>2023</v>
      </c>
      <c r="D268" s="3">
        <f t="shared" si="9"/>
        <v>4</v>
      </c>
      <c r="E268" t="s">
        <v>221</v>
      </c>
      <c r="F268" t="s">
        <v>1022</v>
      </c>
      <c r="G268">
        <v>37</v>
      </c>
      <c r="H268" t="s">
        <v>4</v>
      </c>
      <c r="I268" s="3">
        <v>4</v>
      </c>
      <c r="J268" s="2">
        <v>50</v>
      </c>
      <c r="K268" s="2">
        <v>200</v>
      </c>
    </row>
    <row r="269" spans="1:11" x14ac:dyDescent="0.3">
      <c r="A269">
        <v>478</v>
      </c>
      <c r="B269" s="1">
        <v>45029</v>
      </c>
      <c r="C269" s="3">
        <f t="shared" si="8"/>
        <v>2023</v>
      </c>
      <c r="D269" s="3">
        <f t="shared" si="9"/>
        <v>4</v>
      </c>
      <c r="E269" t="s">
        <v>664</v>
      </c>
      <c r="F269" t="s">
        <v>1023</v>
      </c>
      <c r="G269">
        <v>58</v>
      </c>
      <c r="H269" t="s">
        <v>3</v>
      </c>
      <c r="I269" s="3">
        <v>2</v>
      </c>
      <c r="J269" s="2">
        <v>30</v>
      </c>
      <c r="K269" s="2">
        <v>60</v>
      </c>
    </row>
    <row r="270" spans="1:11" x14ac:dyDescent="0.3">
      <c r="A270">
        <v>745</v>
      </c>
      <c r="B270" s="1">
        <v>45029</v>
      </c>
      <c r="C270" s="3">
        <f t="shared" si="8"/>
        <v>2023</v>
      </c>
      <c r="D270" s="3">
        <f t="shared" si="9"/>
        <v>4</v>
      </c>
      <c r="E270" t="s">
        <v>551</v>
      </c>
      <c r="F270" t="s">
        <v>1022</v>
      </c>
      <c r="G270">
        <v>54</v>
      </c>
      <c r="H270" t="s">
        <v>2</v>
      </c>
      <c r="I270" s="3">
        <v>2</v>
      </c>
      <c r="J270" s="2">
        <v>50</v>
      </c>
      <c r="K270" s="2">
        <v>100</v>
      </c>
    </row>
    <row r="271" spans="1:11" x14ac:dyDescent="0.3">
      <c r="A271">
        <v>354</v>
      </c>
      <c r="B271" s="1">
        <v>45031</v>
      </c>
      <c r="C271" s="3">
        <f t="shared" si="8"/>
        <v>2023</v>
      </c>
      <c r="D271" s="3">
        <f t="shared" si="9"/>
        <v>4</v>
      </c>
      <c r="E271" t="s">
        <v>183</v>
      </c>
      <c r="F271" t="s">
        <v>1023</v>
      </c>
      <c r="G271">
        <v>49</v>
      </c>
      <c r="H271" t="s">
        <v>2</v>
      </c>
      <c r="I271" s="3">
        <v>4</v>
      </c>
      <c r="J271" s="2">
        <v>50</v>
      </c>
      <c r="K271" s="2">
        <v>200</v>
      </c>
    </row>
    <row r="272" spans="1:11" x14ac:dyDescent="0.3">
      <c r="A272">
        <v>408</v>
      </c>
      <c r="B272" s="1">
        <v>45031</v>
      </c>
      <c r="C272" s="3">
        <f t="shared" si="8"/>
        <v>2023</v>
      </c>
      <c r="D272" s="3">
        <f t="shared" si="9"/>
        <v>4</v>
      </c>
      <c r="E272" t="s">
        <v>869</v>
      </c>
      <c r="F272" t="s">
        <v>1023</v>
      </c>
      <c r="G272">
        <v>64</v>
      </c>
      <c r="H272" t="s">
        <v>2</v>
      </c>
      <c r="I272" s="3">
        <v>1</v>
      </c>
      <c r="J272" s="2">
        <v>500</v>
      </c>
      <c r="K272" s="2">
        <v>500</v>
      </c>
    </row>
    <row r="273" spans="1:11" x14ac:dyDescent="0.3">
      <c r="A273">
        <v>674</v>
      </c>
      <c r="B273" s="1">
        <v>45032</v>
      </c>
      <c r="C273" s="3">
        <f t="shared" si="8"/>
        <v>2023</v>
      </c>
      <c r="D273" s="3">
        <f t="shared" si="9"/>
        <v>4</v>
      </c>
      <c r="E273" t="s">
        <v>781</v>
      </c>
      <c r="F273" t="s">
        <v>1023</v>
      </c>
      <c r="G273">
        <v>38</v>
      </c>
      <c r="H273" t="s">
        <v>3</v>
      </c>
      <c r="I273" s="3">
        <v>1</v>
      </c>
      <c r="J273" s="2">
        <v>300</v>
      </c>
      <c r="K273" s="2">
        <v>300</v>
      </c>
    </row>
    <row r="274" spans="1:11" x14ac:dyDescent="0.3">
      <c r="A274">
        <v>967</v>
      </c>
      <c r="B274" s="1">
        <v>45033</v>
      </c>
      <c r="C274" s="3">
        <f t="shared" si="8"/>
        <v>2023</v>
      </c>
      <c r="D274" s="3">
        <f t="shared" si="9"/>
        <v>4</v>
      </c>
      <c r="E274" t="s">
        <v>823</v>
      </c>
      <c r="F274" t="s">
        <v>1022</v>
      </c>
      <c r="G274">
        <v>62</v>
      </c>
      <c r="H274" t="s">
        <v>2</v>
      </c>
      <c r="I274" s="3">
        <v>1</v>
      </c>
      <c r="J274" s="2">
        <v>25</v>
      </c>
      <c r="K274" s="2">
        <v>25</v>
      </c>
    </row>
    <row r="275" spans="1:11" x14ac:dyDescent="0.3">
      <c r="A275">
        <v>79</v>
      </c>
      <c r="B275" s="1">
        <v>45034</v>
      </c>
      <c r="C275" s="3">
        <f t="shared" si="8"/>
        <v>2023</v>
      </c>
      <c r="D275" s="3">
        <f t="shared" si="9"/>
        <v>4</v>
      </c>
      <c r="E275" t="s">
        <v>952</v>
      </c>
      <c r="F275" t="s">
        <v>1022</v>
      </c>
      <c r="G275">
        <v>34</v>
      </c>
      <c r="H275" t="s">
        <v>2</v>
      </c>
      <c r="I275" s="3">
        <v>1</v>
      </c>
      <c r="J275" s="2">
        <v>300</v>
      </c>
      <c r="K275" s="2">
        <v>300</v>
      </c>
    </row>
    <row r="276" spans="1:11" x14ac:dyDescent="0.3">
      <c r="A276">
        <v>406</v>
      </c>
      <c r="B276" s="1">
        <v>45034</v>
      </c>
      <c r="C276" s="3">
        <f t="shared" si="8"/>
        <v>2023</v>
      </c>
      <c r="D276" s="3">
        <f t="shared" si="9"/>
        <v>4</v>
      </c>
      <c r="E276" t="s">
        <v>107</v>
      </c>
      <c r="F276" t="s">
        <v>1023</v>
      </c>
      <c r="G276">
        <v>22</v>
      </c>
      <c r="H276" t="s">
        <v>2</v>
      </c>
      <c r="I276" s="3">
        <v>4</v>
      </c>
      <c r="J276" s="2">
        <v>25</v>
      </c>
      <c r="K276" s="2">
        <v>100</v>
      </c>
    </row>
    <row r="277" spans="1:11" x14ac:dyDescent="0.3">
      <c r="A277">
        <v>450</v>
      </c>
      <c r="B277" s="1">
        <v>45034</v>
      </c>
      <c r="C277" s="3">
        <f t="shared" si="8"/>
        <v>2023</v>
      </c>
      <c r="D277" s="3">
        <f t="shared" si="9"/>
        <v>4</v>
      </c>
      <c r="E277" t="s">
        <v>642</v>
      </c>
      <c r="F277" t="s">
        <v>1023</v>
      </c>
      <c r="G277">
        <v>59</v>
      </c>
      <c r="H277" t="s">
        <v>2</v>
      </c>
      <c r="I277" s="3">
        <v>2</v>
      </c>
      <c r="J277" s="2">
        <v>25</v>
      </c>
      <c r="K277" s="2">
        <v>50</v>
      </c>
    </row>
    <row r="278" spans="1:11" x14ac:dyDescent="0.3">
      <c r="A278">
        <v>562</v>
      </c>
      <c r="B278" s="1">
        <v>45034</v>
      </c>
      <c r="C278" s="3">
        <f t="shared" si="8"/>
        <v>2023</v>
      </c>
      <c r="D278" s="3">
        <f t="shared" si="9"/>
        <v>4</v>
      </c>
      <c r="E278" t="s">
        <v>644</v>
      </c>
      <c r="F278" t="s">
        <v>1022</v>
      </c>
      <c r="G278">
        <v>54</v>
      </c>
      <c r="H278" t="s">
        <v>4</v>
      </c>
      <c r="I278" s="3">
        <v>2</v>
      </c>
      <c r="J278" s="2">
        <v>25</v>
      </c>
      <c r="K278" s="2">
        <v>50</v>
      </c>
    </row>
    <row r="279" spans="1:11" x14ac:dyDescent="0.3">
      <c r="A279">
        <v>108</v>
      </c>
      <c r="B279" s="1">
        <v>45035</v>
      </c>
      <c r="C279" s="3">
        <f t="shared" si="8"/>
        <v>2023</v>
      </c>
      <c r="D279" s="3">
        <f t="shared" si="9"/>
        <v>4</v>
      </c>
      <c r="E279" t="s">
        <v>447</v>
      </c>
      <c r="F279" t="s">
        <v>1023</v>
      </c>
      <c r="G279">
        <v>27</v>
      </c>
      <c r="H279" t="s">
        <v>2</v>
      </c>
      <c r="I279" s="3">
        <v>3</v>
      </c>
      <c r="J279" s="2">
        <v>25</v>
      </c>
      <c r="K279" s="2">
        <v>75</v>
      </c>
    </row>
    <row r="280" spans="1:11" x14ac:dyDescent="0.3">
      <c r="A280">
        <v>111</v>
      </c>
      <c r="B280" s="1">
        <v>45035</v>
      </c>
      <c r="C280" s="3">
        <f t="shared" si="8"/>
        <v>2023</v>
      </c>
      <c r="D280" s="3">
        <f t="shared" si="9"/>
        <v>4</v>
      </c>
      <c r="E280" t="s">
        <v>451</v>
      </c>
      <c r="F280" t="s">
        <v>1023</v>
      </c>
      <c r="G280">
        <v>34</v>
      </c>
      <c r="H280" t="s">
        <v>4</v>
      </c>
      <c r="I280" s="3">
        <v>3</v>
      </c>
      <c r="J280" s="2">
        <v>500</v>
      </c>
      <c r="K280" s="2">
        <v>1500</v>
      </c>
    </row>
    <row r="281" spans="1:11" x14ac:dyDescent="0.3">
      <c r="A281">
        <v>207</v>
      </c>
      <c r="B281" s="1">
        <v>45035</v>
      </c>
      <c r="C281" s="3">
        <f t="shared" si="8"/>
        <v>2023</v>
      </c>
      <c r="D281" s="3">
        <f t="shared" si="9"/>
        <v>4</v>
      </c>
      <c r="E281" t="s">
        <v>720</v>
      </c>
      <c r="F281" t="s">
        <v>1023</v>
      </c>
      <c r="G281">
        <v>42</v>
      </c>
      <c r="H281" t="s">
        <v>2</v>
      </c>
      <c r="I281" s="3">
        <v>2</v>
      </c>
      <c r="J281" s="2">
        <v>25</v>
      </c>
      <c r="K281" s="2">
        <v>50</v>
      </c>
    </row>
    <row r="282" spans="1:11" x14ac:dyDescent="0.3">
      <c r="A282">
        <v>724</v>
      </c>
      <c r="B282" s="1">
        <v>45035</v>
      </c>
      <c r="C282" s="3">
        <f t="shared" si="8"/>
        <v>2023</v>
      </c>
      <c r="D282" s="3">
        <f t="shared" si="9"/>
        <v>4</v>
      </c>
      <c r="E282" t="s">
        <v>329</v>
      </c>
      <c r="F282" t="s">
        <v>1022</v>
      </c>
      <c r="G282">
        <v>61</v>
      </c>
      <c r="H282" t="s">
        <v>3</v>
      </c>
      <c r="I282" s="3">
        <v>3</v>
      </c>
      <c r="J282" s="2">
        <v>50</v>
      </c>
      <c r="K282" s="2">
        <v>150</v>
      </c>
    </row>
    <row r="283" spans="1:11" x14ac:dyDescent="0.3">
      <c r="A283">
        <v>836</v>
      </c>
      <c r="B283" s="1">
        <v>45035</v>
      </c>
      <c r="C283" s="3">
        <f t="shared" si="8"/>
        <v>2023</v>
      </c>
      <c r="D283" s="3">
        <f t="shared" si="9"/>
        <v>4</v>
      </c>
      <c r="E283" t="s">
        <v>852</v>
      </c>
      <c r="F283" t="s">
        <v>1023</v>
      </c>
      <c r="G283">
        <v>22</v>
      </c>
      <c r="H283" t="s">
        <v>3</v>
      </c>
      <c r="I283" s="3">
        <v>1</v>
      </c>
      <c r="J283" s="2">
        <v>50</v>
      </c>
      <c r="K283" s="2">
        <v>50</v>
      </c>
    </row>
    <row r="284" spans="1:11" x14ac:dyDescent="0.3">
      <c r="A284">
        <v>969</v>
      </c>
      <c r="B284" s="1">
        <v>45035</v>
      </c>
      <c r="C284" s="3">
        <f t="shared" si="8"/>
        <v>2023</v>
      </c>
      <c r="D284" s="3">
        <f t="shared" si="9"/>
        <v>4</v>
      </c>
      <c r="E284" t="s">
        <v>291</v>
      </c>
      <c r="F284" t="s">
        <v>1023</v>
      </c>
      <c r="G284">
        <v>40</v>
      </c>
      <c r="H284" t="s">
        <v>3</v>
      </c>
      <c r="I284" s="3">
        <v>3</v>
      </c>
      <c r="J284" s="2">
        <v>300</v>
      </c>
      <c r="K284" s="2">
        <v>900</v>
      </c>
    </row>
    <row r="285" spans="1:11" x14ac:dyDescent="0.3">
      <c r="A285">
        <v>246</v>
      </c>
      <c r="B285" s="1">
        <v>45036</v>
      </c>
      <c r="C285" s="3">
        <f t="shared" si="8"/>
        <v>2023</v>
      </c>
      <c r="D285" s="3">
        <f t="shared" si="9"/>
        <v>4</v>
      </c>
      <c r="E285" t="s">
        <v>758</v>
      </c>
      <c r="F285" t="s">
        <v>1023</v>
      </c>
      <c r="G285">
        <v>48</v>
      </c>
      <c r="H285" t="s">
        <v>4</v>
      </c>
      <c r="I285" s="3">
        <v>2</v>
      </c>
      <c r="J285" s="2">
        <v>25</v>
      </c>
      <c r="K285" s="2">
        <v>50</v>
      </c>
    </row>
    <row r="286" spans="1:11" x14ac:dyDescent="0.3">
      <c r="A286">
        <v>298</v>
      </c>
      <c r="B286" s="1">
        <v>45036</v>
      </c>
      <c r="C286" s="3">
        <f t="shared" si="8"/>
        <v>2023</v>
      </c>
      <c r="D286" s="3">
        <f t="shared" si="9"/>
        <v>4</v>
      </c>
      <c r="E286" t="s">
        <v>271</v>
      </c>
      <c r="F286" t="s">
        <v>1022</v>
      </c>
      <c r="G286">
        <v>27</v>
      </c>
      <c r="H286" t="s">
        <v>2</v>
      </c>
      <c r="I286" s="3">
        <v>4</v>
      </c>
      <c r="J286" s="2">
        <v>300</v>
      </c>
      <c r="K286" s="2">
        <v>1200</v>
      </c>
    </row>
    <row r="287" spans="1:11" x14ac:dyDescent="0.3">
      <c r="A287">
        <v>374</v>
      </c>
      <c r="B287" s="1">
        <v>45036</v>
      </c>
      <c r="C287" s="3">
        <f t="shared" si="8"/>
        <v>2023</v>
      </c>
      <c r="D287" s="3">
        <f t="shared" si="9"/>
        <v>4</v>
      </c>
      <c r="E287" t="s">
        <v>400</v>
      </c>
      <c r="F287" t="s">
        <v>1023</v>
      </c>
      <c r="G287">
        <v>59</v>
      </c>
      <c r="H287" t="s">
        <v>2</v>
      </c>
      <c r="I287" s="3">
        <v>3</v>
      </c>
      <c r="J287" s="2">
        <v>25</v>
      </c>
      <c r="K287" s="2">
        <v>75</v>
      </c>
    </row>
    <row r="288" spans="1:11" x14ac:dyDescent="0.3">
      <c r="A288">
        <v>572</v>
      </c>
      <c r="B288" s="1">
        <v>45036</v>
      </c>
      <c r="C288" s="3">
        <f t="shared" si="8"/>
        <v>2023</v>
      </c>
      <c r="D288" s="3">
        <f t="shared" si="9"/>
        <v>4</v>
      </c>
      <c r="E288" t="s">
        <v>128</v>
      </c>
      <c r="F288" t="s">
        <v>1022</v>
      </c>
      <c r="G288">
        <v>31</v>
      </c>
      <c r="H288" t="s">
        <v>3</v>
      </c>
      <c r="I288" s="3">
        <v>4</v>
      </c>
      <c r="J288" s="2">
        <v>500</v>
      </c>
      <c r="K288" s="2">
        <v>2000</v>
      </c>
    </row>
    <row r="289" spans="1:11" x14ac:dyDescent="0.3">
      <c r="A289">
        <v>665</v>
      </c>
      <c r="B289" s="1">
        <v>45036</v>
      </c>
      <c r="C289" s="3">
        <f t="shared" si="8"/>
        <v>2023</v>
      </c>
      <c r="D289" s="3">
        <f t="shared" si="9"/>
        <v>4</v>
      </c>
      <c r="E289" t="s">
        <v>383</v>
      </c>
      <c r="F289" t="s">
        <v>1022</v>
      </c>
      <c r="G289">
        <v>57</v>
      </c>
      <c r="H289" t="s">
        <v>3</v>
      </c>
      <c r="I289" s="3">
        <v>1</v>
      </c>
      <c r="J289" s="2">
        <v>50</v>
      </c>
      <c r="K289" s="2">
        <v>50</v>
      </c>
    </row>
    <row r="290" spans="1:11" x14ac:dyDescent="0.3">
      <c r="A290">
        <v>39</v>
      </c>
      <c r="B290" s="1">
        <v>45037</v>
      </c>
      <c r="C290" s="3">
        <f t="shared" si="8"/>
        <v>2023</v>
      </c>
      <c r="D290" s="3">
        <f t="shared" si="9"/>
        <v>4</v>
      </c>
      <c r="E290" t="s">
        <v>214</v>
      </c>
      <c r="F290" t="s">
        <v>1022</v>
      </c>
      <c r="G290">
        <v>23</v>
      </c>
      <c r="H290" t="s">
        <v>3</v>
      </c>
      <c r="I290" s="3">
        <v>4</v>
      </c>
      <c r="J290" s="2">
        <v>30</v>
      </c>
      <c r="K290" s="2">
        <v>120</v>
      </c>
    </row>
    <row r="291" spans="1:11" x14ac:dyDescent="0.3">
      <c r="A291">
        <v>893</v>
      </c>
      <c r="B291" s="1">
        <v>45037</v>
      </c>
      <c r="C291" s="3">
        <f t="shared" si="8"/>
        <v>2023</v>
      </c>
      <c r="D291" s="3">
        <f t="shared" si="9"/>
        <v>4</v>
      </c>
      <c r="E291" t="s">
        <v>769</v>
      </c>
      <c r="F291" t="s">
        <v>1022</v>
      </c>
      <c r="G291">
        <v>49</v>
      </c>
      <c r="H291" t="s">
        <v>4</v>
      </c>
      <c r="I291" s="3">
        <v>1</v>
      </c>
      <c r="J291" s="2">
        <v>50</v>
      </c>
      <c r="K291" s="2">
        <v>50</v>
      </c>
    </row>
    <row r="292" spans="1:11" x14ac:dyDescent="0.3">
      <c r="A292">
        <v>17</v>
      </c>
      <c r="B292" s="1">
        <v>45038</v>
      </c>
      <c r="C292" s="3">
        <f t="shared" si="8"/>
        <v>2023</v>
      </c>
      <c r="D292" s="3">
        <f t="shared" si="9"/>
        <v>4</v>
      </c>
      <c r="E292" t="s">
        <v>206</v>
      </c>
      <c r="F292" t="s">
        <v>1023</v>
      </c>
      <c r="G292">
        <v>27</v>
      </c>
      <c r="H292" t="s">
        <v>3</v>
      </c>
      <c r="I292" s="3">
        <v>4</v>
      </c>
      <c r="J292" s="2">
        <v>25</v>
      </c>
      <c r="K292" s="2">
        <v>100</v>
      </c>
    </row>
    <row r="293" spans="1:11" x14ac:dyDescent="0.3">
      <c r="A293">
        <v>316</v>
      </c>
      <c r="B293" s="1">
        <v>45038</v>
      </c>
      <c r="C293" s="3">
        <f t="shared" si="8"/>
        <v>2023</v>
      </c>
      <c r="D293" s="3">
        <f t="shared" si="9"/>
        <v>4</v>
      </c>
      <c r="E293" t="s">
        <v>711</v>
      </c>
      <c r="F293" t="s">
        <v>1023</v>
      </c>
      <c r="G293">
        <v>48</v>
      </c>
      <c r="H293" t="s">
        <v>3</v>
      </c>
      <c r="I293" s="3">
        <v>2</v>
      </c>
      <c r="J293" s="2">
        <v>25</v>
      </c>
      <c r="K293" s="2">
        <v>50</v>
      </c>
    </row>
    <row r="294" spans="1:11" x14ac:dyDescent="0.3">
      <c r="A294">
        <v>755</v>
      </c>
      <c r="B294" s="1">
        <v>45038</v>
      </c>
      <c r="C294" s="3">
        <f t="shared" si="8"/>
        <v>2023</v>
      </c>
      <c r="D294" s="3">
        <f t="shared" si="9"/>
        <v>4</v>
      </c>
      <c r="E294" t="s">
        <v>290</v>
      </c>
      <c r="F294" t="s">
        <v>1023</v>
      </c>
      <c r="G294">
        <v>58</v>
      </c>
      <c r="H294" t="s">
        <v>3</v>
      </c>
      <c r="I294" s="3">
        <v>3</v>
      </c>
      <c r="J294" s="2">
        <v>25</v>
      </c>
      <c r="K294" s="2">
        <v>75</v>
      </c>
    </row>
    <row r="295" spans="1:11" x14ac:dyDescent="0.3">
      <c r="A295">
        <v>28</v>
      </c>
      <c r="B295" s="1">
        <v>45039</v>
      </c>
      <c r="C295" s="3">
        <f t="shared" si="8"/>
        <v>2023</v>
      </c>
      <c r="D295" s="3">
        <f t="shared" si="9"/>
        <v>4</v>
      </c>
      <c r="E295" t="s">
        <v>955</v>
      </c>
      <c r="F295" t="s">
        <v>1023</v>
      </c>
      <c r="G295">
        <v>43</v>
      </c>
      <c r="H295" t="s">
        <v>2</v>
      </c>
      <c r="I295" s="3">
        <v>1</v>
      </c>
      <c r="J295" s="2">
        <v>500</v>
      </c>
      <c r="K295" s="2">
        <v>500</v>
      </c>
    </row>
    <row r="296" spans="1:11" x14ac:dyDescent="0.3">
      <c r="A296">
        <v>98</v>
      </c>
      <c r="B296" s="1">
        <v>45039</v>
      </c>
      <c r="C296" s="3">
        <f t="shared" si="8"/>
        <v>2023</v>
      </c>
      <c r="D296" s="3">
        <f t="shared" si="9"/>
        <v>4</v>
      </c>
      <c r="E296" t="s">
        <v>696</v>
      </c>
      <c r="F296" t="s">
        <v>1023</v>
      </c>
      <c r="G296">
        <v>55</v>
      </c>
      <c r="H296" t="s">
        <v>2</v>
      </c>
      <c r="I296" s="3">
        <v>2</v>
      </c>
      <c r="J296" s="2">
        <v>50</v>
      </c>
      <c r="K296" s="2">
        <v>100</v>
      </c>
    </row>
    <row r="297" spans="1:11" x14ac:dyDescent="0.3">
      <c r="A297">
        <v>129</v>
      </c>
      <c r="B297" s="1">
        <v>45039</v>
      </c>
      <c r="C297" s="3">
        <f t="shared" si="8"/>
        <v>2023</v>
      </c>
      <c r="D297" s="3">
        <f t="shared" si="9"/>
        <v>4</v>
      </c>
      <c r="E297" t="s">
        <v>716</v>
      </c>
      <c r="F297" t="s">
        <v>1023</v>
      </c>
      <c r="G297">
        <v>21</v>
      </c>
      <c r="H297" t="s">
        <v>2</v>
      </c>
      <c r="I297" s="3">
        <v>2</v>
      </c>
      <c r="J297" s="2">
        <v>300</v>
      </c>
      <c r="K297" s="2">
        <v>600</v>
      </c>
    </row>
    <row r="298" spans="1:11" x14ac:dyDescent="0.3">
      <c r="A298">
        <v>230</v>
      </c>
      <c r="B298" s="1">
        <v>45039</v>
      </c>
      <c r="C298" s="3">
        <f t="shared" si="8"/>
        <v>2023</v>
      </c>
      <c r="D298" s="3">
        <f t="shared" si="9"/>
        <v>4</v>
      </c>
      <c r="E298" t="s">
        <v>999</v>
      </c>
      <c r="F298" t="s">
        <v>1022</v>
      </c>
      <c r="G298">
        <v>54</v>
      </c>
      <c r="H298" t="s">
        <v>2</v>
      </c>
      <c r="I298" s="3">
        <v>1</v>
      </c>
      <c r="J298" s="2">
        <v>25</v>
      </c>
      <c r="K298" s="2">
        <v>25</v>
      </c>
    </row>
    <row r="299" spans="1:11" x14ac:dyDescent="0.3">
      <c r="A299">
        <v>613</v>
      </c>
      <c r="B299" s="1">
        <v>45039</v>
      </c>
      <c r="C299" s="3">
        <f t="shared" si="8"/>
        <v>2023</v>
      </c>
      <c r="D299" s="3">
        <f t="shared" si="9"/>
        <v>4</v>
      </c>
      <c r="E299" t="s">
        <v>415</v>
      </c>
      <c r="F299" t="s">
        <v>1023</v>
      </c>
      <c r="G299">
        <v>52</v>
      </c>
      <c r="H299" t="s">
        <v>3</v>
      </c>
      <c r="I299" s="3">
        <v>3</v>
      </c>
      <c r="J299" s="2">
        <v>30</v>
      </c>
      <c r="K299" s="2">
        <v>90</v>
      </c>
    </row>
    <row r="300" spans="1:11" x14ac:dyDescent="0.3">
      <c r="A300">
        <v>691</v>
      </c>
      <c r="B300" s="1">
        <v>45039</v>
      </c>
      <c r="C300" s="3">
        <f t="shared" si="8"/>
        <v>2023</v>
      </c>
      <c r="D300" s="3">
        <f t="shared" si="9"/>
        <v>4</v>
      </c>
      <c r="E300" t="s">
        <v>294</v>
      </c>
      <c r="F300" t="s">
        <v>1023</v>
      </c>
      <c r="G300">
        <v>51</v>
      </c>
      <c r="H300" t="s">
        <v>3</v>
      </c>
      <c r="I300" s="3">
        <v>3</v>
      </c>
      <c r="J300" s="2">
        <v>30</v>
      </c>
      <c r="K300" s="2">
        <v>90</v>
      </c>
    </row>
    <row r="301" spans="1:11" x14ac:dyDescent="0.3">
      <c r="A301">
        <v>693</v>
      </c>
      <c r="B301" s="1">
        <v>45039</v>
      </c>
      <c r="C301" s="3">
        <f t="shared" si="8"/>
        <v>2023</v>
      </c>
      <c r="D301" s="3">
        <f t="shared" si="9"/>
        <v>4</v>
      </c>
      <c r="E301" t="s">
        <v>296</v>
      </c>
      <c r="F301" t="s">
        <v>1022</v>
      </c>
      <c r="G301">
        <v>41</v>
      </c>
      <c r="H301" t="s">
        <v>2</v>
      </c>
      <c r="I301" s="3">
        <v>3</v>
      </c>
      <c r="J301" s="2">
        <v>500</v>
      </c>
      <c r="K301" s="2">
        <v>1500</v>
      </c>
    </row>
    <row r="302" spans="1:11" x14ac:dyDescent="0.3">
      <c r="A302">
        <v>477</v>
      </c>
      <c r="B302" s="1">
        <v>45040</v>
      </c>
      <c r="C302" s="3">
        <f t="shared" si="8"/>
        <v>2023</v>
      </c>
      <c r="D302" s="3">
        <f t="shared" si="9"/>
        <v>4</v>
      </c>
      <c r="E302" t="s">
        <v>153</v>
      </c>
      <c r="F302" t="s">
        <v>1022</v>
      </c>
      <c r="G302">
        <v>43</v>
      </c>
      <c r="H302" t="s">
        <v>3</v>
      </c>
      <c r="I302" s="3">
        <v>4</v>
      </c>
      <c r="J302" s="2">
        <v>30</v>
      </c>
      <c r="K302" s="2">
        <v>120</v>
      </c>
    </row>
    <row r="303" spans="1:11" x14ac:dyDescent="0.3">
      <c r="A303">
        <v>863</v>
      </c>
      <c r="B303" s="1">
        <v>45040</v>
      </c>
      <c r="C303" s="3">
        <f t="shared" si="8"/>
        <v>2023</v>
      </c>
      <c r="D303" s="3">
        <f t="shared" si="9"/>
        <v>4</v>
      </c>
      <c r="E303" t="s">
        <v>558</v>
      </c>
      <c r="F303" t="s">
        <v>1023</v>
      </c>
      <c r="G303">
        <v>30</v>
      </c>
      <c r="H303" t="s">
        <v>4</v>
      </c>
      <c r="I303" s="3">
        <v>2</v>
      </c>
      <c r="J303" s="2">
        <v>25</v>
      </c>
      <c r="K303" s="2">
        <v>50</v>
      </c>
    </row>
    <row r="304" spans="1:11" x14ac:dyDescent="0.3">
      <c r="A304">
        <v>6</v>
      </c>
      <c r="B304" s="1">
        <v>45041</v>
      </c>
      <c r="C304" s="3">
        <f t="shared" si="8"/>
        <v>2023</v>
      </c>
      <c r="D304" s="3">
        <f t="shared" si="9"/>
        <v>4</v>
      </c>
      <c r="E304" t="s">
        <v>959</v>
      </c>
      <c r="F304" t="s">
        <v>1023</v>
      </c>
      <c r="G304">
        <v>45</v>
      </c>
      <c r="H304" t="s">
        <v>2</v>
      </c>
      <c r="I304" s="3">
        <v>1</v>
      </c>
      <c r="J304" s="2">
        <v>30</v>
      </c>
      <c r="K304" s="2">
        <v>30</v>
      </c>
    </row>
    <row r="305" spans="1:11" x14ac:dyDescent="0.3">
      <c r="A305">
        <v>483</v>
      </c>
      <c r="B305" s="1">
        <v>45041</v>
      </c>
      <c r="C305" s="3">
        <f t="shared" si="8"/>
        <v>2023</v>
      </c>
      <c r="D305" s="3">
        <f t="shared" si="9"/>
        <v>4</v>
      </c>
      <c r="E305" t="s">
        <v>881</v>
      </c>
      <c r="F305" t="s">
        <v>1022</v>
      </c>
      <c r="G305">
        <v>55</v>
      </c>
      <c r="H305" t="s">
        <v>3</v>
      </c>
      <c r="I305" s="3">
        <v>1</v>
      </c>
      <c r="J305" s="2">
        <v>30</v>
      </c>
      <c r="K305" s="2">
        <v>30</v>
      </c>
    </row>
    <row r="306" spans="1:11" x14ac:dyDescent="0.3">
      <c r="A306">
        <v>738</v>
      </c>
      <c r="B306" s="1">
        <v>45041</v>
      </c>
      <c r="C306" s="3">
        <f t="shared" si="8"/>
        <v>2023</v>
      </c>
      <c r="D306" s="3">
        <f t="shared" si="9"/>
        <v>4</v>
      </c>
      <c r="E306" t="s">
        <v>565</v>
      </c>
      <c r="F306" t="s">
        <v>1022</v>
      </c>
      <c r="G306">
        <v>41</v>
      </c>
      <c r="H306" t="s">
        <v>3</v>
      </c>
      <c r="I306" s="3">
        <v>2</v>
      </c>
      <c r="J306" s="2">
        <v>50</v>
      </c>
      <c r="K306" s="2">
        <v>100</v>
      </c>
    </row>
    <row r="307" spans="1:11" x14ac:dyDescent="0.3">
      <c r="A307">
        <v>222</v>
      </c>
      <c r="B307" s="1">
        <v>45042</v>
      </c>
      <c r="C307" s="3">
        <f t="shared" si="8"/>
        <v>2023</v>
      </c>
      <c r="D307" s="3">
        <f t="shared" si="9"/>
        <v>4</v>
      </c>
      <c r="E307" t="s">
        <v>207</v>
      </c>
      <c r="F307" t="s">
        <v>1022</v>
      </c>
      <c r="G307">
        <v>51</v>
      </c>
      <c r="H307" t="s">
        <v>3</v>
      </c>
      <c r="I307" s="3">
        <v>4</v>
      </c>
      <c r="J307" s="2">
        <v>30</v>
      </c>
      <c r="K307" s="2">
        <v>120</v>
      </c>
    </row>
    <row r="308" spans="1:11" x14ac:dyDescent="0.3">
      <c r="A308">
        <v>588</v>
      </c>
      <c r="B308" s="1">
        <v>45042</v>
      </c>
      <c r="C308" s="3">
        <f t="shared" si="8"/>
        <v>2023</v>
      </c>
      <c r="D308" s="3">
        <f t="shared" si="9"/>
        <v>4</v>
      </c>
      <c r="E308" t="s">
        <v>673</v>
      </c>
      <c r="F308" t="s">
        <v>1022</v>
      </c>
      <c r="G308">
        <v>38</v>
      </c>
      <c r="H308" t="s">
        <v>4</v>
      </c>
      <c r="I308" s="3">
        <v>2</v>
      </c>
      <c r="J308" s="2">
        <v>30</v>
      </c>
      <c r="K308" s="2">
        <v>60</v>
      </c>
    </row>
    <row r="309" spans="1:11" x14ac:dyDescent="0.3">
      <c r="A309">
        <v>953</v>
      </c>
      <c r="B309" s="1">
        <v>45042</v>
      </c>
      <c r="C309" s="3">
        <f t="shared" si="8"/>
        <v>2023</v>
      </c>
      <c r="D309" s="3">
        <f t="shared" si="9"/>
        <v>4</v>
      </c>
      <c r="E309" t="s">
        <v>349</v>
      </c>
      <c r="F309" t="s">
        <v>1022</v>
      </c>
      <c r="G309">
        <v>45</v>
      </c>
      <c r="H309" t="s">
        <v>2</v>
      </c>
      <c r="I309" s="3">
        <v>3</v>
      </c>
      <c r="J309" s="2">
        <v>30</v>
      </c>
      <c r="K309" s="2">
        <v>90</v>
      </c>
    </row>
    <row r="310" spans="1:11" x14ac:dyDescent="0.3">
      <c r="A310">
        <v>66</v>
      </c>
      <c r="B310" s="1">
        <v>45043</v>
      </c>
      <c r="C310" s="3">
        <f t="shared" si="8"/>
        <v>2023</v>
      </c>
      <c r="D310" s="3">
        <f t="shared" si="9"/>
        <v>4</v>
      </c>
      <c r="E310" t="s">
        <v>945</v>
      </c>
      <c r="F310" t="s">
        <v>1023</v>
      </c>
      <c r="G310">
        <v>45</v>
      </c>
      <c r="H310" t="s">
        <v>4</v>
      </c>
      <c r="I310" s="3">
        <v>1</v>
      </c>
      <c r="J310" s="2">
        <v>30</v>
      </c>
      <c r="K310" s="2">
        <v>30</v>
      </c>
    </row>
    <row r="311" spans="1:11" x14ac:dyDescent="0.3">
      <c r="A311">
        <v>482</v>
      </c>
      <c r="B311" s="1">
        <v>45043</v>
      </c>
      <c r="C311" s="3">
        <f t="shared" si="8"/>
        <v>2023</v>
      </c>
      <c r="D311" s="3">
        <f t="shared" si="9"/>
        <v>4</v>
      </c>
      <c r="E311" t="s">
        <v>161</v>
      </c>
      <c r="F311" t="s">
        <v>1023</v>
      </c>
      <c r="G311">
        <v>28</v>
      </c>
      <c r="H311" t="s">
        <v>3</v>
      </c>
      <c r="I311" s="3">
        <v>4</v>
      </c>
      <c r="J311" s="2">
        <v>300</v>
      </c>
      <c r="K311" s="2">
        <v>1200</v>
      </c>
    </row>
    <row r="312" spans="1:11" x14ac:dyDescent="0.3">
      <c r="A312">
        <v>903</v>
      </c>
      <c r="B312" s="1">
        <v>45043</v>
      </c>
      <c r="C312" s="3">
        <f t="shared" si="8"/>
        <v>2023</v>
      </c>
      <c r="D312" s="3">
        <f t="shared" si="9"/>
        <v>4</v>
      </c>
      <c r="E312" t="s">
        <v>51</v>
      </c>
      <c r="F312" t="s">
        <v>1023</v>
      </c>
      <c r="G312">
        <v>51</v>
      </c>
      <c r="H312" t="s">
        <v>2</v>
      </c>
      <c r="I312" s="3">
        <v>4</v>
      </c>
      <c r="J312" s="2">
        <v>50</v>
      </c>
      <c r="K312" s="2">
        <v>200</v>
      </c>
    </row>
    <row r="313" spans="1:11" x14ac:dyDescent="0.3">
      <c r="A313">
        <v>102</v>
      </c>
      <c r="B313" s="1">
        <v>45044</v>
      </c>
      <c r="C313" s="3">
        <f t="shared" si="8"/>
        <v>2023</v>
      </c>
      <c r="D313" s="3">
        <f t="shared" si="9"/>
        <v>4</v>
      </c>
      <c r="E313" t="s">
        <v>726</v>
      </c>
      <c r="F313" t="s">
        <v>1023</v>
      </c>
      <c r="G313">
        <v>47</v>
      </c>
      <c r="H313" t="s">
        <v>2</v>
      </c>
      <c r="I313" s="3">
        <v>2</v>
      </c>
      <c r="J313" s="2">
        <v>25</v>
      </c>
      <c r="K313" s="2">
        <v>50</v>
      </c>
    </row>
    <row r="314" spans="1:11" x14ac:dyDescent="0.3">
      <c r="A314">
        <v>228</v>
      </c>
      <c r="B314" s="1">
        <v>45044</v>
      </c>
      <c r="C314" s="3">
        <f t="shared" si="8"/>
        <v>2023</v>
      </c>
      <c r="D314" s="3">
        <f t="shared" si="9"/>
        <v>4</v>
      </c>
      <c r="E314" t="s">
        <v>742</v>
      </c>
      <c r="F314" t="s">
        <v>1023</v>
      </c>
      <c r="G314">
        <v>59</v>
      </c>
      <c r="H314" t="s">
        <v>4</v>
      </c>
      <c r="I314" s="3">
        <v>2</v>
      </c>
      <c r="J314" s="2">
        <v>30</v>
      </c>
      <c r="K314" s="2">
        <v>60</v>
      </c>
    </row>
    <row r="315" spans="1:11" x14ac:dyDescent="0.3">
      <c r="A315">
        <v>236</v>
      </c>
      <c r="B315" s="1">
        <v>45044</v>
      </c>
      <c r="C315" s="3">
        <f t="shared" si="8"/>
        <v>2023</v>
      </c>
      <c r="D315" s="3">
        <f t="shared" si="9"/>
        <v>4</v>
      </c>
      <c r="E315" t="s">
        <v>942</v>
      </c>
      <c r="F315" t="s">
        <v>1023</v>
      </c>
      <c r="G315">
        <v>54</v>
      </c>
      <c r="H315" t="s">
        <v>3</v>
      </c>
      <c r="I315" s="3">
        <v>1</v>
      </c>
      <c r="J315" s="2">
        <v>25</v>
      </c>
      <c r="K315" s="2">
        <v>25</v>
      </c>
    </row>
    <row r="316" spans="1:11" x14ac:dyDescent="0.3">
      <c r="A316">
        <v>660</v>
      </c>
      <c r="B316" s="1">
        <v>45045</v>
      </c>
      <c r="C316" s="3">
        <f t="shared" si="8"/>
        <v>2023</v>
      </c>
      <c r="D316" s="3">
        <f t="shared" si="9"/>
        <v>4</v>
      </c>
      <c r="E316" t="s">
        <v>14</v>
      </c>
      <c r="F316" t="s">
        <v>1023</v>
      </c>
      <c r="G316">
        <v>38</v>
      </c>
      <c r="H316" t="s">
        <v>2</v>
      </c>
      <c r="I316" s="3">
        <v>2</v>
      </c>
      <c r="J316" s="2">
        <v>500</v>
      </c>
      <c r="K316" s="2">
        <v>1000</v>
      </c>
    </row>
    <row r="317" spans="1:11" x14ac:dyDescent="0.3">
      <c r="A317">
        <v>884</v>
      </c>
      <c r="B317" s="1">
        <v>45045</v>
      </c>
      <c r="C317" s="3">
        <f t="shared" si="8"/>
        <v>2023</v>
      </c>
      <c r="D317" s="3">
        <f t="shared" si="9"/>
        <v>4</v>
      </c>
      <c r="E317" t="s">
        <v>566</v>
      </c>
      <c r="F317" t="s">
        <v>1023</v>
      </c>
      <c r="G317">
        <v>26</v>
      </c>
      <c r="H317" t="s">
        <v>3</v>
      </c>
      <c r="I317" s="3">
        <v>2</v>
      </c>
      <c r="J317" s="2">
        <v>30</v>
      </c>
      <c r="K317" s="2">
        <v>60</v>
      </c>
    </row>
    <row r="318" spans="1:11" x14ac:dyDescent="0.3">
      <c r="A318">
        <v>987</v>
      </c>
      <c r="B318" s="1">
        <v>45045</v>
      </c>
      <c r="C318" s="3">
        <f t="shared" si="8"/>
        <v>2023</v>
      </c>
      <c r="D318" s="3">
        <f t="shared" si="9"/>
        <v>4</v>
      </c>
      <c r="E318" t="s">
        <v>321</v>
      </c>
      <c r="F318" t="s">
        <v>1023</v>
      </c>
      <c r="G318">
        <v>30</v>
      </c>
      <c r="H318" t="s">
        <v>3</v>
      </c>
      <c r="I318" s="3">
        <v>3</v>
      </c>
      <c r="J318" s="2">
        <v>300</v>
      </c>
      <c r="K318" s="2">
        <v>900</v>
      </c>
    </row>
    <row r="319" spans="1:11" x14ac:dyDescent="0.3">
      <c r="A319">
        <v>18</v>
      </c>
      <c r="B319" s="1">
        <v>45046</v>
      </c>
      <c r="C319" s="3">
        <f t="shared" si="8"/>
        <v>2023</v>
      </c>
      <c r="D319" s="3">
        <f t="shared" si="9"/>
        <v>4</v>
      </c>
      <c r="E319" t="s">
        <v>679</v>
      </c>
      <c r="F319" t="s">
        <v>1023</v>
      </c>
      <c r="G319">
        <v>47</v>
      </c>
      <c r="H319" t="s">
        <v>4</v>
      </c>
      <c r="I319" s="3">
        <v>2</v>
      </c>
      <c r="J319" s="2">
        <v>25</v>
      </c>
      <c r="K319" s="2">
        <v>50</v>
      </c>
    </row>
    <row r="320" spans="1:11" x14ac:dyDescent="0.3">
      <c r="A320">
        <v>69</v>
      </c>
      <c r="B320" s="1">
        <v>45046</v>
      </c>
      <c r="C320" s="3">
        <f t="shared" si="8"/>
        <v>2023</v>
      </c>
      <c r="D320" s="3">
        <f t="shared" si="9"/>
        <v>4</v>
      </c>
      <c r="E320" t="s">
        <v>502</v>
      </c>
      <c r="F320" t="s">
        <v>1023</v>
      </c>
      <c r="G320">
        <v>56</v>
      </c>
      <c r="H320" t="s">
        <v>2</v>
      </c>
      <c r="I320" s="3">
        <v>3</v>
      </c>
      <c r="J320" s="2">
        <v>25</v>
      </c>
      <c r="K320" s="2">
        <v>75</v>
      </c>
    </row>
    <row r="321" spans="1:11" x14ac:dyDescent="0.3">
      <c r="A321">
        <v>995</v>
      </c>
      <c r="B321" s="1">
        <v>45046</v>
      </c>
      <c r="C321" s="3">
        <f t="shared" si="8"/>
        <v>2023</v>
      </c>
      <c r="D321" s="3">
        <f t="shared" si="9"/>
        <v>4</v>
      </c>
      <c r="E321" t="s">
        <v>851</v>
      </c>
      <c r="F321" t="s">
        <v>1023</v>
      </c>
      <c r="G321">
        <v>41</v>
      </c>
      <c r="H321" t="s">
        <v>3</v>
      </c>
      <c r="I321" s="3">
        <v>1</v>
      </c>
      <c r="J321" s="2">
        <v>30</v>
      </c>
      <c r="K321" s="2">
        <v>30</v>
      </c>
    </row>
    <row r="322" spans="1:11" x14ac:dyDescent="0.3">
      <c r="A322">
        <v>337</v>
      </c>
      <c r="B322" s="1">
        <v>45047</v>
      </c>
      <c r="C322" s="3">
        <f t="shared" ref="C322:C385" si="10">YEAR(B322)</f>
        <v>2023</v>
      </c>
      <c r="D322" s="3">
        <f t="shared" ref="D322:D385" si="11">MONTH(B322)</f>
        <v>5</v>
      </c>
      <c r="E322" t="s">
        <v>906</v>
      </c>
      <c r="F322" t="s">
        <v>1022</v>
      </c>
      <c r="G322">
        <v>38</v>
      </c>
      <c r="H322" t="s">
        <v>3</v>
      </c>
      <c r="I322" s="3">
        <v>1</v>
      </c>
      <c r="J322" s="2">
        <v>500</v>
      </c>
      <c r="K322" s="2">
        <v>500</v>
      </c>
    </row>
    <row r="323" spans="1:11" x14ac:dyDescent="0.3">
      <c r="A323">
        <v>585</v>
      </c>
      <c r="B323" s="1">
        <v>45047</v>
      </c>
      <c r="C323" s="3">
        <f t="shared" si="10"/>
        <v>2023</v>
      </c>
      <c r="D323" s="3">
        <f t="shared" si="11"/>
        <v>5</v>
      </c>
      <c r="E323" t="s">
        <v>918</v>
      </c>
      <c r="F323" t="s">
        <v>1023</v>
      </c>
      <c r="G323">
        <v>24</v>
      </c>
      <c r="H323" t="s">
        <v>3</v>
      </c>
      <c r="I323" s="3">
        <v>1</v>
      </c>
      <c r="J323" s="2">
        <v>25</v>
      </c>
      <c r="K323" s="2">
        <v>25</v>
      </c>
    </row>
    <row r="324" spans="1:11" x14ac:dyDescent="0.3">
      <c r="A324">
        <v>652</v>
      </c>
      <c r="B324" s="1">
        <v>45047</v>
      </c>
      <c r="C324" s="3">
        <f t="shared" si="10"/>
        <v>2023</v>
      </c>
      <c r="D324" s="3">
        <f t="shared" si="11"/>
        <v>5</v>
      </c>
      <c r="E324" t="s">
        <v>19</v>
      </c>
      <c r="F324" t="s">
        <v>1023</v>
      </c>
      <c r="G324">
        <v>34</v>
      </c>
      <c r="H324" t="s">
        <v>2</v>
      </c>
      <c r="I324" s="3">
        <v>2</v>
      </c>
      <c r="J324" s="2">
        <v>50</v>
      </c>
      <c r="K324" s="2">
        <v>100</v>
      </c>
    </row>
    <row r="325" spans="1:11" x14ac:dyDescent="0.3">
      <c r="A325">
        <v>242</v>
      </c>
      <c r="B325" s="1">
        <v>45048</v>
      </c>
      <c r="C325" s="3">
        <f t="shared" si="10"/>
        <v>2023</v>
      </c>
      <c r="D325" s="3">
        <f t="shared" si="11"/>
        <v>5</v>
      </c>
      <c r="E325" t="s">
        <v>986</v>
      </c>
      <c r="F325" t="s">
        <v>1022</v>
      </c>
      <c r="G325">
        <v>21</v>
      </c>
      <c r="H325" t="s">
        <v>3</v>
      </c>
      <c r="I325" s="3">
        <v>1</v>
      </c>
      <c r="J325" s="2">
        <v>25</v>
      </c>
      <c r="K325" s="2">
        <v>25</v>
      </c>
    </row>
    <row r="326" spans="1:11" x14ac:dyDescent="0.3">
      <c r="A326">
        <v>293</v>
      </c>
      <c r="B326" s="1">
        <v>45048</v>
      </c>
      <c r="C326" s="3">
        <f t="shared" si="10"/>
        <v>2023</v>
      </c>
      <c r="D326" s="3">
        <f t="shared" si="11"/>
        <v>5</v>
      </c>
      <c r="E326" t="s">
        <v>506</v>
      </c>
      <c r="F326" t="s">
        <v>1022</v>
      </c>
      <c r="G326">
        <v>50</v>
      </c>
      <c r="H326" t="s">
        <v>4</v>
      </c>
      <c r="I326" s="3">
        <v>3</v>
      </c>
      <c r="J326" s="2">
        <v>30</v>
      </c>
      <c r="K326" s="2">
        <v>90</v>
      </c>
    </row>
    <row r="327" spans="1:11" x14ac:dyDescent="0.3">
      <c r="A327">
        <v>460</v>
      </c>
      <c r="B327" s="1">
        <v>45048</v>
      </c>
      <c r="C327" s="3">
        <f t="shared" si="10"/>
        <v>2023</v>
      </c>
      <c r="D327" s="3">
        <f t="shared" si="11"/>
        <v>5</v>
      </c>
      <c r="E327" t="s">
        <v>870</v>
      </c>
      <c r="F327" t="s">
        <v>1022</v>
      </c>
      <c r="G327">
        <v>40</v>
      </c>
      <c r="H327" t="s">
        <v>2</v>
      </c>
      <c r="I327" s="3">
        <v>1</v>
      </c>
      <c r="J327" s="2">
        <v>50</v>
      </c>
      <c r="K327" s="2">
        <v>50</v>
      </c>
    </row>
    <row r="328" spans="1:11" x14ac:dyDescent="0.3">
      <c r="A328">
        <v>188</v>
      </c>
      <c r="B328" s="1">
        <v>45049</v>
      </c>
      <c r="C328" s="3">
        <f t="shared" si="10"/>
        <v>2023</v>
      </c>
      <c r="D328" s="3">
        <f t="shared" si="11"/>
        <v>5</v>
      </c>
      <c r="E328" t="s">
        <v>509</v>
      </c>
      <c r="F328" t="s">
        <v>1022</v>
      </c>
      <c r="G328">
        <v>40</v>
      </c>
      <c r="H328" t="s">
        <v>3</v>
      </c>
      <c r="I328" s="3">
        <v>3</v>
      </c>
      <c r="J328" s="2">
        <v>25</v>
      </c>
      <c r="K328" s="2">
        <v>75</v>
      </c>
    </row>
    <row r="329" spans="1:11" x14ac:dyDescent="0.3">
      <c r="A329">
        <v>357</v>
      </c>
      <c r="B329" s="1">
        <v>45049</v>
      </c>
      <c r="C329" s="3">
        <f t="shared" si="10"/>
        <v>2023</v>
      </c>
      <c r="D329" s="3">
        <f t="shared" si="11"/>
        <v>5</v>
      </c>
      <c r="E329" t="s">
        <v>401</v>
      </c>
      <c r="F329" t="s">
        <v>1023</v>
      </c>
      <c r="G329">
        <v>40</v>
      </c>
      <c r="H329" t="s">
        <v>4</v>
      </c>
      <c r="I329" s="3">
        <v>3</v>
      </c>
      <c r="J329" s="2">
        <v>25</v>
      </c>
      <c r="K329" s="2">
        <v>75</v>
      </c>
    </row>
    <row r="330" spans="1:11" x14ac:dyDescent="0.3">
      <c r="A330">
        <v>646</v>
      </c>
      <c r="B330" s="1">
        <v>45049</v>
      </c>
      <c r="C330" s="3">
        <f t="shared" si="10"/>
        <v>2023</v>
      </c>
      <c r="D330" s="3">
        <f t="shared" si="11"/>
        <v>5</v>
      </c>
      <c r="E330" t="s">
        <v>381</v>
      </c>
      <c r="F330" t="s">
        <v>1022</v>
      </c>
      <c r="G330">
        <v>38</v>
      </c>
      <c r="H330" t="s">
        <v>3</v>
      </c>
      <c r="I330" s="3">
        <v>3</v>
      </c>
      <c r="J330" s="2">
        <v>30</v>
      </c>
      <c r="K330" s="2">
        <v>90</v>
      </c>
    </row>
    <row r="331" spans="1:11" x14ac:dyDescent="0.3">
      <c r="A331">
        <v>749</v>
      </c>
      <c r="B331" s="1">
        <v>45049</v>
      </c>
      <c r="C331" s="3">
        <f t="shared" si="10"/>
        <v>2023</v>
      </c>
      <c r="D331" s="3">
        <f t="shared" si="11"/>
        <v>5</v>
      </c>
      <c r="E331" t="s">
        <v>818</v>
      </c>
      <c r="F331" t="s">
        <v>1022</v>
      </c>
      <c r="G331">
        <v>42</v>
      </c>
      <c r="H331" t="s">
        <v>2</v>
      </c>
      <c r="I331" s="3">
        <v>1</v>
      </c>
      <c r="J331" s="2">
        <v>30</v>
      </c>
      <c r="K331" s="2">
        <v>30</v>
      </c>
    </row>
    <row r="332" spans="1:11" x14ac:dyDescent="0.3">
      <c r="A332">
        <v>974</v>
      </c>
      <c r="B332" s="1">
        <v>45049</v>
      </c>
      <c r="C332" s="3">
        <f t="shared" si="10"/>
        <v>2023</v>
      </c>
      <c r="D332" s="3">
        <f t="shared" si="11"/>
        <v>5</v>
      </c>
      <c r="E332" t="s">
        <v>795</v>
      </c>
      <c r="F332" t="s">
        <v>1022</v>
      </c>
      <c r="G332">
        <v>47</v>
      </c>
      <c r="H332" t="s">
        <v>2</v>
      </c>
      <c r="I332" s="3">
        <v>1</v>
      </c>
      <c r="J332" s="2">
        <v>30</v>
      </c>
      <c r="K332" s="2">
        <v>30</v>
      </c>
    </row>
    <row r="333" spans="1:11" x14ac:dyDescent="0.3">
      <c r="A333">
        <v>190</v>
      </c>
      <c r="B333" s="1">
        <v>45050</v>
      </c>
      <c r="C333" s="3">
        <f t="shared" si="10"/>
        <v>2023</v>
      </c>
      <c r="D333" s="3">
        <f t="shared" si="11"/>
        <v>5</v>
      </c>
      <c r="E333" t="s">
        <v>511</v>
      </c>
      <c r="F333" t="s">
        <v>1023</v>
      </c>
      <c r="G333">
        <v>60</v>
      </c>
      <c r="H333" t="s">
        <v>2</v>
      </c>
      <c r="I333" s="3">
        <v>3</v>
      </c>
      <c r="J333" s="2">
        <v>30</v>
      </c>
      <c r="K333" s="2">
        <v>90</v>
      </c>
    </row>
    <row r="334" spans="1:11" x14ac:dyDescent="0.3">
      <c r="A334">
        <v>849</v>
      </c>
      <c r="B334" s="1">
        <v>45050</v>
      </c>
      <c r="C334" s="3">
        <f t="shared" si="10"/>
        <v>2023</v>
      </c>
      <c r="D334" s="3">
        <f t="shared" si="11"/>
        <v>5</v>
      </c>
      <c r="E334" t="s">
        <v>540</v>
      </c>
      <c r="F334" t="s">
        <v>1022</v>
      </c>
      <c r="G334">
        <v>32</v>
      </c>
      <c r="H334" t="s">
        <v>3</v>
      </c>
      <c r="I334" s="3">
        <v>2</v>
      </c>
      <c r="J334" s="2">
        <v>25</v>
      </c>
      <c r="K334" s="2">
        <v>50</v>
      </c>
    </row>
    <row r="335" spans="1:11" x14ac:dyDescent="0.3">
      <c r="A335">
        <v>853</v>
      </c>
      <c r="B335" s="1">
        <v>45050</v>
      </c>
      <c r="C335" s="3">
        <f t="shared" si="10"/>
        <v>2023</v>
      </c>
      <c r="D335" s="3">
        <f t="shared" si="11"/>
        <v>5</v>
      </c>
      <c r="E335" t="s">
        <v>546</v>
      </c>
      <c r="F335" t="s">
        <v>1022</v>
      </c>
      <c r="G335">
        <v>21</v>
      </c>
      <c r="H335" t="s">
        <v>2</v>
      </c>
      <c r="I335" s="3">
        <v>2</v>
      </c>
      <c r="J335" s="2">
        <v>500</v>
      </c>
      <c r="K335" s="2">
        <v>1000</v>
      </c>
    </row>
    <row r="336" spans="1:11" x14ac:dyDescent="0.3">
      <c r="A336">
        <v>252</v>
      </c>
      <c r="B336" s="1">
        <v>45051</v>
      </c>
      <c r="C336" s="3">
        <f t="shared" si="10"/>
        <v>2023</v>
      </c>
      <c r="D336" s="3">
        <f t="shared" si="11"/>
        <v>5</v>
      </c>
      <c r="E336" t="s">
        <v>966</v>
      </c>
      <c r="F336" t="s">
        <v>1022</v>
      </c>
      <c r="G336">
        <v>54</v>
      </c>
      <c r="H336" t="s">
        <v>4</v>
      </c>
      <c r="I336" s="3">
        <v>1</v>
      </c>
      <c r="J336" s="2">
        <v>300</v>
      </c>
      <c r="K336" s="2">
        <v>300</v>
      </c>
    </row>
    <row r="337" spans="1:11" x14ac:dyDescent="0.3">
      <c r="A337">
        <v>606</v>
      </c>
      <c r="B337" s="1">
        <v>45051</v>
      </c>
      <c r="C337" s="3">
        <f t="shared" si="10"/>
        <v>2023</v>
      </c>
      <c r="D337" s="3">
        <f t="shared" si="11"/>
        <v>5</v>
      </c>
      <c r="E337" t="s">
        <v>887</v>
      </c>
      <c r="F337" t="s">
        <v>1022</v>
      </c>
      <c r="G337">
        <v>22</v>
      </c>
      <c r="H337" t="s">
        <v>4</v>
      </c>
      <c r="I337" s="3">
        <v>1</v>
      </c>
      <c r="J337" s="2">
        <v>50</v>
      </c>
      <c r="K337" s="2">
        <v>50</v>
      </c>
    </row>
    <row r="338" spans="1:11" x14ac:dyDescent="0.3">
      <c r="A338">
        <v>779</v>
      </c>
      <c r="B338" s="1">
        <v>45051</v>
      </c>
      <c r="C338" s="3">
        <f t="shared" si="10"/>
        <v>2023</v>
      </c>
      <c r="D338" s="3">
        <f t="shared" si="11"/>
        <v>5</v>
      </c>
      <c r="E338" t="s">
        <v>526</v>
      </c>
      <c r="F338" t="s">
        <v>1023</v>
      </c>
      <c r="G338">
        <v>56</v>
      </c>
      <c r="H338" t="s">
        <v>4</v>
      </c>
      <c r="I338" s="3">
        <v>2</v>
      </c>
      <c r="J338" s="2">
        <v>500</v>
      </c>
      <c r="K338" s="2">
        <v>1000</v>
      </c>
    </row>
    <row r="339" spans="1:11" x14ac:dyDescent="0.3">
      <c r="A339">
        <v>824</v>
      </c>
      <c r="B339" s="1">
        <v>45051</v>
      </c>
      <c r="C339" s="3">
        <f t="shared" si="10"/>
        <v>2023</v>
      </c>
      <c r="D339" s="3">
        <f t="shared" si="11"/>
        <v>5</v>
      </c>
      <c r="E339" t="s">
        <v>63</v>
      </c>
      <c r="F339" t="s">
        <v>1022</v>
      </c>
      <c r="G339">
        <v>63</v>
      </c>
      <c r="H339" t="s">
        <v>3</v>
      </c>
      <c r="I339" s="3">
        <v>4</v>
      </c>
      <c r="J339" s="2">
        <v>30</v>
      </c>
      <c r="K339" s="2">
        <v>120</v>
      </c>
    </row>
    <row r="340" spans="1:11" x14ac:dyDescent="0.3">
      <c r="A340">
        <v>866</v>
      </c>
      <c r="B340" s="1">
        <v>45051</v>
      </c>
      <c r="C340" s="3">
        <f t="shared" si="10"/>
        <v>2023</v>
      </c>
      <c r="D340" s="3">
        <f t="shared" si="11"/>
        <v>5</v>
      </c>
      <c r="E340" t="s">
        <v>788</v>
      </c>
      <c r="F340" t="s">
        <v>1022</v>
      </c>
      <c r="G340">
        <v>24</v>
      </c>
      <c r="H340" t="s">
        <v>4</v>
      </c>
      <c r="I340" s="3">
        <v>1</v>
      </c>
      <c r="J340" s="2">
        <v>50</v>
      </c>
      <c r="K340" s="2">
        <v>50</v>
      </c>
    </row>
    <row r="341" spans="1:11" x14ac:dyDescent="0.3">
      <c r="A341">
        <v>5</v>
      </c>
      <c r="B341" s="1">
        <v>45052</v>
      </c>
      <c r="C341" s="3">
        <f t="shared" si="10"/>
        <v>2023</v>
      </c>
      <c r="D341" s="3">
        <f t="shared" si="11"/>
        <v>5</v>
      </c>
      <c r="E341" t="s">
        <v>719</v>
      </c>
      <c r="F341" t="s">
        <v>1022</v>
      </c>
      <c r="G341">
        <v>30</v>
      </c>
      <c r="H341" t="s">
        <v>2</v>
      </c>
      <c r="I341" s="3">
        <v>2</v>
      </c>
      <c r="J341" s="2">
        <v>50</v>
      </c>
      <c r="K341" s="2">
        <v>100</v>
      </c>
    </row>
    <row r="342" spans="1:11" x14ac:dyDescent="0.3">
      <c r="A342">
        <v>90</v>
      </c>
      <c r="B342" s="1">
        <v>45052</v>
      </c>
      <c r="C342" s="3">
        <f t="shared" si="10"/>
        <v>2023</v>
      </c>
      <c r="D342" s="3">
        <f t="shared" si="11"/>
        <v>5</v>
      </c>
      <c r="E342" t="s">
        <v>1008</v>
      </c>
      <c r="F342" t="s">
        <v>1023</v>
      </c>
      <c r="G342">
        <v>51</v>
      </c>
      <c r="H342" t="s">
        <v>4</v>
      </c>
      <c r="I342" s="3">
        <v>1</v>
      </c>
      <c r="J342" s="2">
        <v>30</v>
      </c>
      <c r="K342" s="2">
        <v>30</v>
      </c>
    </row>
    <row r="343" spans="1:11" x14ac:dyDescent="0.3">
      <c r="A343">
        <v>380</v>
      </c>
      <c r="B343" s="1">
        <v>45052</v>
      </c>
      <c r="C343" s="3">
        <f t="shared" si="10"/>
        <v>2023</v>
      </c>
      <c r="D343" s="3">
        <f t="shared" si="11"/>
        <v>5</v>
      </c>
      <c r="E343" t="s">
        <v>597</v>
      </c>
      <c r="F343" t="s">
        <v>1022</v>
      </c>
      <c r="G343">
        <v>56</v>
      </c>
      <c r="H343" t="s">
        <v>4</v>
      </c>
      <c r="I343" s="3">
        <v>2</v>
      </c>
      <c r="J343" s="2">
        <v>300</v>
      </c>
      <c r="K343" s="2">
        <v>600</v>
      </c>
    </row>
    <row r="344" spans="1:11" x14ac:dyDescent="0.3">
      <c r="A344">
        <v>593</v>
      </c>
      <c r="B344" s="1">
        <v>45052</v>
      </c>
      <c r="C344" s="3">
        <f t="shared" si="10"/>
        <v>2023</v>
      </c>
      <c r="D344" s="3">
        <f t="shared" si="11"/>
        <v>5</v>
      </c>
      <c r="E344" t="s">
        <v>615</v>
      </c>
      <c r="F344" t="s">
        <v>1022</v>
      </c>
      <c r="G344">
        <v>35</v>
      </c>
      <c r="H344" t="s">
        <v>4</v>
      </c>
      <c r="I344" s="3">
        <v>2</v>
      </c>
      <c r="J344" s="2">
        <v>30</v>
      </c>
      <c r="K344" s="2">
        <v>60</v>
      </c>
    </row>
    <row r="345" spans="1:11" x14ac:dyDescent="0.3">
      <c r="A345">
        <v>820</v>
      </c>
      <c r="B345" s="1">
        <v>45052</v>
      </c>
      <c r="C345" s="3">
        <f t="shared" si="10"/>
        <v>2023</v>
      </c>
      <c r="D345" s="3">
        <f t="shared" si="11"/>
        <v>5</v>
      </c>
      <c r="E345" t="s">
        <v>41</v>
      </c>
      <c r="F345" t="s">
        <v>1022</v>
      </c>
      <c r="G345">
        <v>49</v>
      </c>
      <c r="H345" t="s">
        <v>4</v>
      </c>
      <c r="I345" s="3">
        <v>4</v>
      </c>
      <c r="J345" s="2">
        <v>50</v>
      </c>
      <c r="K345" s="2">
        <v>200</v>
      </c>
    </row>
    <row r="346" spans="1:11" x14ac:dyDescent="0.3">
      <c r="A346">
        <v>120</v>
      </c>
      <c r="B346" s="1">
        <v>45053</v>
      </c>
      <c r="C346" s="3">
        <f t="shared" si="10"/>
        <v>2023</v>
      </c>
      <c r="D346" s="3">
        <f t="shared" si="11"/>
        <v>5</v>
      </c>
      <c r="E346" t="s">
        <v>997</v>
      </c>
      <c r="F346" t="s">
        <v>1022</v>
      </c>
      <c r="G346">
        <v>60</v>
      </c>
      <c r="H346" t="s">
        <v>2</v>
      </c>
      <c r="I346" s="3">
        <v>1</v>
      </c>
      <c r="J346" s="2">
        <v>50</v>
      </c>
      <c r="K346" s="2">
        <v>50</v>
      </c>
    </row>
    <row r="347" spans="1:11" x14ac:dyDescent="0.3">
      <c r="A347">
        <v>221</v>
      </c>
      <c r="B347" s="1">
        <v>45053</v>
      </c>
      <c r="C347" s="3">
        <f t="shared" si="10"/>
        <v>2023</v>
      </c>
      <c r="D347" s="3">
        <f t="shared" si="11"/>
        <v>5</v>
      </c>
      <c r="E347" t="s">
        <v>738</v>
      </c>
      <c r="F347" t="s">
        <v>1022</v>
      </c>
      <c r="G347">
        <v>39</v>
      </c>
      <c r="H347" t="s">
        <v>2</v>
      </c>
      <c r="I347" s="3">
        <v>2</v>
      </c>
      <c r="J347" s="2">
        <v>300</v>
      </c>
      <c r="K347" s="2">
        <v>600</v>
      </c>
    </row>
    <row r="348" spans="1:11" x14ac:dyDescent="0.3">
      <c r="A348">
        <v>341</v>
      </c>
      <c r="B348" s="1">
        <v>45053</v>
      </c>
      <c r="C348" s="3">
        <f t="shared" si="10"/>
        <v>2023</v>
      </c>
      <c r="D348" s="3">
        <f t="shared" si="11"/>
        <v>5</v>
      </c>
      <c r="E348" t="s">
        <v>106</v>
      </c>
      <c r="F348" t="s">
        <v>1022</v>
      </c>
      <c r="G348">
        <v>31</v>
      </c>
      <c r="H348" t="s">
        <v>3</v>
      </c>
      <c r="I348" s="3">
        <v>4</v>
      </c>
      <c r="J348" s="2">
        <v>50</v>
      </c>
      <c r="K348" s="2">
        <v>200</v>
      </c>
    </row>
    <row r="349" spans="1:11" x14ac:dyDescent="0.3">
      <c r="A349">
        <v>640</v>
      </c>
      <c r="B349" s="1">
        <v>45053</v>
      </c>
      <c r="C349" s="3">
        <f t="shared" si="10"/>
        <v>2023</v>
      </c>
      <c r="D349" s="3">
        <f t="shared" si="11"/>
        <v>5</v>
      </c>
      <c r="E349" t="s">
        <v>176</v>
      </c>
      <c r="F349" t="s">
        <v>1023</v>
      </c>
      <c r="G349">
        <v>51</v>
      </c>
      <c r="H349" t="s">
        <v>4</v>
      </c>
      <c r="I349" s="3">
        <v>4</v>
      </c>
      <c r="J349" s="2">
        <v>30</v>
      </c>
      <c r="K349" s="2">
        <v>120</v>
      </c>
    </row>
    <row r="350" spans="1:11" x14ac:dyDescent="0.3">
      <c r="A350">
        <v>744</v>
      </c>
      <c r="B350" s="1">
        <v>45053</v>
      </c>
      <c r="C350" s="3">
        <f t="shared" si="10"/>
        <v>2023</v>
      </c>
      <c r="D350" s="3">
        <f t="shared" si="11"/>
        <v>5</v>
      </c>
      <c r="E350" t="s">
        <v>793</v>
      </c>
      <c r="F350" t="s">
        <v>1022</v>
      </c>
      <c r="G350">
        <v>40</v>
      </c>
      <c r="H350" t="s">
        <v>4</v>
      </c>
      <c r="I350" s="3">
        <v>1</v>
      </c>
      <c r="J350" s="2">
        <v>25</v>
      </c>
      <c r="K350" s="2">
        <v>25</v>
      </c>
    </row>
    <row r="351" spans="1:11" x14ac:dyDescent="0.3">
      <c r="A351">
        <v>273</v>
      </c>
      <c r="B351" s="1">
        <v>45054</v>
      </c>
      <c r="C351" s="3">
        <f t="shared" si="10"/>
        <v>2023</v>
      </c>
      <c r="D351" s="3">
        <f t="shared" si="11"/>
        <v>5</v>
      </c>
      <c r="E351" t="s">
        <v>967</v>
      </c>
      <c r="F351" t="s">
        <v>1023</v>
      </c>
      <c r="G351">
        <v>22</v>
      </c>
      <c r="H351" t="s">
        <v>2</v>
      </c>
      <c r="I351" s="3">
        <v>1</v>
      </c>
      <c r="J351" s="2">
        <v>50</v>
      </c>
      <c r="K351" s="2">
        <v>50</v>
      </c>
    </row>
    <row r="352" spans="1:11" x14ac:dyDescent="0.3">
      <c r="A352">
        <v>283</v>
      </c>
      <c r="B352" s="1">
        <v>45054</v>
      </c>
      <c r="C352" s="3">
        <f t="shared" si="10"/>
        <v>2023</v>
      </c>
      <c r="D352" s="3">
        <f t="shared" si="11"/>
        <v>5</v>
      </c>
      <c r="E352" t="s">
        <v>987</v>
      </c>
      <c r="F352" t="s">
        <v>1023</v>
      </c>
      <c r="G352">
        <v>18</v>
      </c>
      <c r="H352" t="s">
        <v>4</v>
      </c>
      <c r="I352" s="3">
        <v>1</v>
      </c>
      <c r="J352" s="2">
        <v>500</v>
      </c>
      <c r="K352" s="2">
        <v>500</v>
      </c>
    </row>
    <row r="353" spans="1:11" x14ac:dyDescent="0.3">
      <c r="A353">
        <v>452</v>
      </c>
      <c r="B353" s="1">
        <v>45054</v>
      </c>
      <c r="C353" s="3">
        <f t="shared" si="10"/>
        <v>2023</v>
      </c>
      <c r="D353" s="3">
        <f t="shared" si="11"/>
        <v>5</v>
      </c>
      <c r="E353" t="s">
        <v>376</v>
      </c>
      <c r="F353" t="s">
        <v>1023</v>
      </c>
      <c r="G353">
        <v>48</v>
      </c>
      <c r="H353" t="s">
        <v>3</v>
      </c>
      <c r="I353" s="3">
        <v>3</v>
      </c>
      <c r="J353" s="2">
        <v>500</v>
      </c>
      <c r="K353" s="2">
        <v>1500</v>
      </c>
    </row>
    <row r="354" spans="1:11" x14ac:dyDescent="0.3">
      <c r="A354">
        <v>469</v>
      </c>
      <c r="B354" s="1">
        <v>45054</v>
      </c>
      <c r="C354" s="3">
        <f t="shared" si="10"/>
        <v>2023</v>
      </c>
      <c r="D354" s="3">
        <f t="shared" si="11"/>
        <v>5</v>
      </c>
      <c r="E354" t="s">
        <v>386</v>
      </c>
      <c r="F354" t="s">
        <v>1022</v>
      </c>
      <c r="G354">
        <v>18</v>
      </c>
      <c r="H354" t="s">
        <v>2</v>
      </c>
      <c r="I354" s="3">
        <v>3</v>
      </c>
      <c r="J354" s="2">
        <v>25</v>
      </c>
      <c r="K354" s="2">
        <v>75</v>
      </c>
    </row>
    <row r="355" spans="1:11" x14ac:dyDescent="0.3">
      <c r="A355">
        <v>620</v>
      </c>
      <c r="B355" s="1">
        <v>45054</v>
      </c>
      <c r="C355" s="3">
        <f t="shared" si="10"/>
        <v>2023</v>
      </c>
      <c r="D355" s="3">
        <f t="shared" si="11"/>
        <v>5</v>
      </c>
      <c r="E355" t="s">
        <v>417</v>
      </c>
      <c r="F355" t="s">
        <v>1022</v>
      </c>
      <c r="G355">
        <v>63</v>
      </c>
      <c r="H355" t="s">
        <v>4</v>
      </c>
      <c r="I355" s="3">
        <v>3</v>
      </c>
      <c r="J355" s="2">
        <v>25</v>
      </c>
      <c r="K355" s="2">
        <v>75</v>
      </c>
    </row>
    <row r="356" spans="1:11" x14ac:dyDescent="0.3">
      <c r="A356">
        <v>946</v>
      </c>
      <c r="B356" s="1">
        <v>45054</v>
      </c>
      <c r="C356" s="3">
        <f t="shared" si="10"/>
        <v>2023</v>
      </c>
      <c r="D356" s="3">
        <f t="shared" si="11"/>
        <v>5</v>
      </c>
      <c r="E356" t="s">
        <v>93</v>
      </c>
      <c r="F356" t="s">
        <v>1022</v>
      </c>
      <c r="G356">
        <v>62</v>
      </c>
      <c r="H356" t="s">
        <v>4</v>
      </c>
      <c r="I356" s="3">
        <v>4</v>
      </c>
      <c r="J356" s="2">
        <v>500</v>
      </c>
      <c r="K356" s="2">
        <v>2000</v>
      </c>
    </row>
    <row r="357" spans="1:11" x14ac:dyDescent="0.3">
      <c r="A357">
        <v>148</v>
      </c>
      <c r="B357" s="1">
        <v>45055</v>
      </c>
      <c r="C357" s="3">
        <f t="shared" si="10"/>
        <v>2023</v>
      </c>
      <c r="D357" s="3">
        <f t="shared" si="11"/>
        <v>5</v>
      </c>
      <c r="E357" t="s">
        <v>723</v>
      </c>
      <c r="F357" t="s">
        <v>1022</v>
      </c>
      <c r="G357">
        <v>18</v>
      </c>
      <c r="H357" t="s">
        <v>3</v>
      </c>
      <c r="I357" s="3">
        <v>2</v>
      </c>
      <c r="J357" s="2">
        <v>30</v>
      </c>
      <c r="K357" s="2">
        <v>60</v>
      </c>
    </row>
    <row r="358" spans="1:11" x14ac:dyDescent="0.3">
      <c r="A358">
        <v>414</v>
      </c>
      <c r="B358" s="1">
        <v>45055</v>
      </c>
      <c r="C358" s="3">
        <f t="shared" si="10"/>
        <v>2023</v>
      </c>
      <c r="D358" s="3">
        <f t="shared" si="11"/>
        <v>5</v>
      </c>
      <c r="E358" t="s">
        <v>113</v>
      </c>
      <c r="F358" t="s">
        <v>1022</v>
      </c>
      <c r="G358">
        <v>48</v>
      </c>
      <c r="H358" t="s">
        <v>2</v>
      </c>
      <c r="I358" s="3">
        <v>4</v>
      </c>
      <c r="J358" s="2">
        <v>25</v>
      </c>
      <c r="K358" s="2">
        <v>100</v>
      </c>
    </row>
    <row r="359" spans="1:11" x14ac:dyDescent="0.3">
      <c r="A359">
        <v>883</v>
      </c>
      <c r="B359" s="1">
        <v>45055</v>
      </c>
      <c r="C359" s="3">
        <f t="shared" si="10"/>
        <v>2023</v>
      </c>
      <c r="D359" s="3">
        <f t="shared" si="11"/>
        <v>5</v>
      </c>
      <c r="E359" t="s">
        <v>785</v>
      </c>
      <c r="F359" t="s">
        <v>1022</v>
      </c>
      <c r="G359">
        <v>40</v>
      </c>
      <c r="H359" t="s">
        <v>4</v>
      </c>
      <c r="I359" s="3">
        <v>1</v>
      </c>
      <c r="J359" s="2">
        <v>500</v>
      </c>
      <c r="K359" s="2">
        <v>500</v>
      </c>
    </row>
    <row r="360" spans="1:11" x14ac:dyDescent="0.3">
      <c r="A360">
        <v>731</v>
      </c>
      <c r="B360" s="1">
        <v>45056</v>
      </c>
      <c r="C360" s="3">
        <f t="shared" si="10"/>
        <v>2023</v>
      </c>
      <c r="D360" s="3">
        <f t="shared" si="11"/>
        <v>5</v>
      </c>
      <c r="E360" t="s">
        <v>54</v>
      </c>
      <c r="F360" t="s">
        <v>1022</v>
      </c>
      <c r="G360">
        <v>54</v>
      </c>
      <c r="H360" t="s">
        <v>3</v>
      </c>
      <c r="I360" s="3">
        <v>4</v>
      </c>
      <c r="J360" s="2">
        <v>500</v>
      </c>
      <c r="K360" s="2">
        <v>2000</v>
      </c>
    </row>
    <row r="361" spans="1:11" x14ac:dyDescent="0.3">
      <c r="A361">
        <v>930</v>
      </c>
      <c r="B361" s="1">
        <v>45056</v>
      </c>
      <c r="C361" s="3">
        <f t="shared" si="10"/>
        <v>2023</v>
      </c>
      <c r="D361" s="3">
        <f t="shared" si="11"/>
        <v>5</v>
      </c>
      <c r="E361" t="s">
        <v>87</v>
      </c>
      <c r="F361" t="s">
        <v>1022</v>
      </c>
      <c r="G361">
        <v>54</v>
      </c>
      <c r="H361" t="s">
        <v>3</v>
      </c>
      <c r="I361" s="3">
        <v>4</v>
      </c>
      <c r="J361" s="2">
        <v>50</v>
      </c>
      <c r="K361" s="2">
        <v>200</v>
      </c>
    </row>
    <row r="362" spans="1:11" x14ac:dyDescent="0.3">
      <c r="A362">
        <v>518</v>
      </c>
      <c r="B362" s="1">
        <v>45057</v>
      </c>
      <c r="C362" s="3">
        <f t="shared" si="10"/>
        <v>2023</v>
      </c>
      <c r="D362" s="3">
        <f t="shared" si="11"/>
        <v>5</v>
      </c>
      <c r="E362" t="s">
        <v>865</v>
      </c>
      <c r="F362" t="s">
        <v>1023</v>
      </c>
      <c r="G362">
        <v>40</v>
      </c>
      <c r="H362" t="s">
        <v>3</v>
      </c>
      <c r="I362" s="3">
        <v>1</v>
      </c>
      <c r="J362" s="2">
        <v>30</v>
      </c>
      <c r="K362" s="2">
        <v>30</v>
      </c>
    </row>
    <row r="363" spans="1:11" x14ac:dyDescent="0.3">
      <c r="A363">
        <v>758</v>
      </c>
      <c r="B363" s="1">
        <v>45058</v>
      </c>
      <c r="C363" s="3">
        <f t="shared" si="10"/>
        <v>2023</v>
      </c>
      <c r="D363" s="3">
        <f t="shared" si="11"/>
        <v>5</v>
      </c>
      <c r="E363" t="s">
        <v>72</v>
      </c>
      <c r="F363" t="s">
        <v>1022</v>
      </c>
      <c r="G363">
        <v>64</v>
      </c>
      <c r="H363" t="s">
        <v>3</v>
      </c>
      <c r="I363" s="3">
        <v>4</v>
      </c>
      <c r="J363" s="2">
        <v>25</v>
      </c>
      <c r="K363" s="2">
        <v>100</v>
      </c>
    </row>
    <row r="364" spans="1:11" x14ac:dyDescent="0.3">
      <c r="A364">
        <v>639</v>
      </c>
      <c r="B364" s="1">
        <v>45059</v>
      </c>
      <c r="C364" s="3">
        <f t="shared" si="10"/>
        <v>2023</v>
      </c>
      <c r="D364" s="3">
        <f t="shared" si="11"/>
        <v>5</v>
      </c>
      <c r="E364" t="s">
        <v>138</v>
      </c>
      <c r="F364" t="s">
        <v>1023</v>
      </c>
      <c r="G364">
        <v>62</v>
      </c>
      <c r="H364" t="s">
        <v>2</v>
      </c>
      <c r="I364" s="3">
        <v>4</v>
      </c>
      <c r="J364" s="2">
        <v>50</v>
      </c>
      <c r="K364" s="2">
        <v>200</v>
      </c>
    </row>
    <row r="365" spans="1:11" x14ac:dyDescent="0.3">
      <c r="A365">
        <v>838</v>
      </c>
      <c r="B365" s="1">
        <v>45059</v>
      </c>
      <c r="C365" s="3">
        <f t="shared" si="10"/>
        <v>2023</v>
      </c>
      <c r="D365" s="3">
        <f t="shared" si="11"/>
        <v>5</v>
      </c>
      <c r="E365" t="s">
        <v>532</v>
      </c>
      <c r="F365" t="s">
        <v>1022</v>
      </c>
      <c r="G365">
        <v>47</v>
      </c>
      <c r="H365" t="s">
        <v>4</v>
      </c>
      <c r="I365" s="3">
        <v>2</v>
      </c>
      <c r="J365" s="2">
        <v>300</v>
      </c>
      <c r="K365" s="2">
        <v>600</v>
      </c>
    </row>
    <row r="366" spans="1:11" x14ac:dyDescent="0.3">
      <c r="A366">
        <v>353</v>
      </c>
      <c r="B366" s="1">
        <v>45060</v>
      </c>
      <c r="C366" s="3">
        <f t="shared" si="10"/>
        <v>2023</v>
      </c>
      <c r="D366" s="3">
        <f t="shared" si="11"/>
        <v>5</v>
      </c>
      <c r="E366" t="s">
        <v>916</v>
      </c>
      <c r="F366" t="s">
        <v>1022</v>
      </c>
      <c r="G366">
        <v>31</v>
      </c>
      <c r="H366" t="s">
        <v>4</v>
      </c>
      <c r="I366" s="3">
        <v>1</v>
      </c>
      <c r="J366" s="2">
        <v>500</v>
      </c>
      <c r="K366" s="2">
        <v>500</v>
      </c>
    </row>
    <row r="367" spans="1:11" x14ac:dyDescent="0.3">
      <c r="A367">
        <v>501</v>
      </c>
      <c r="B367" s="1">
        <v>45060</v>
      </c>
      <c r="C367" s="3">
        <f t="shared" si="10"/>
        <v>2023</v>
      </c>
      <c r="D367" s="3">
        <f t="shared" si="11"/>
        <v>5</v>
      </c>
      <c r="E367" t="s">
        <v>611</v>
      </c>
      <c r="F367" t="s">
        <v>1022</v>
      </c>
      <c r="G367">
        <v>39</v>
      </c>
      <c r="H367" t="s">
        <v>4</v>
      </c>
      <c r="I367" s="3">
        <v>2</v>
      </c>
      <c r="J367" s="2">
        <v>30</v>
      </c>
      <c r="K367" s="2">
        <v>60</v>
      </c>
    </row>
    <row r="368" spans="1:11" x14ac:dyDescent="0.3">
      <c r="A368">
        <v>721</v>
      </c>
      <c r="B368" s="1">
        <v>45060</v>
      </c>
      <c r="C368" s="3">
        <f t="shared" si="10"/>
        <v>2023</v>
      </c>
      <c r="D368" s="3">
        <f t="shared" si="11"/>
        <v>5</v>
      </c>
      <c r="E368" t="s">
        <v>800</v>
      </c>
      <c r="F368" t="s">
        <v>1023</v>
      </c>
      <c r="G368">
        <v>52</v>
      </c>
      <c r="H368" t="s">
        <v>3</v>
      </c>
      <c r="I368" s="3">
        <v>1</v>
      </c>
      <c r="J368" s="2">
        <v>500</v>
      </c>
      <c r="K368" s="2">
        <v>500</v>
      </c>
    </row>
    <row r="369" spans="1:11" x14ac:dyDescent="0.3">
      <c r="A369">
        <v>123</v>
      </c>
      <c r="B369" s="1">
        <v>45061</v>
      </c>
      <c r="C369" s="3">
        <f t="shared" si="10"/>
        <v>2023</v>
      </c>
      <c r="D369" s="3">
        <f t="shared" si="11"/>
        <v>5</v>
      </c>
      <c r="E369" t="s">
        <v>704</v>
      </c>
      <c r="F369" t="s">
        <v>1023</v>
      </c>
      <c r="G369">
        <v>40</v>
      </c>
      <c r="H369" t="s">
        <v>4</v>
      </c>
      <c r="I369" s="3">
        <v>2</v>
      </c>
      <c r="J369" s="2">
        <v>30</v>
      </c>
      <c r="K369" s="2">
        <v>60</v>
      </c>
    </row>
    <row r="370" spans="1:11" x14ac:dyDescent="0.3">
      <c r="A370">
        <v>164</v>
      </c>
      <c r="B370" s="1">
        <v>45061</v>
      </c>
      <c r="C370" s="3">
        <f t="shared" si="10"/>
        <v>2023</v>
      </c>
      <c r="D370" s="3">
        <f t="shared" si="11"/>
        <v>5</v>
      </c>
      <c r="E370" t="s">
        <v>487</v>
      </c>
      <c r="F370" t="s">
        <v>1023</v>
      </c>
      <c r="G370">
        <v>47</v>
      </c>
      <c r="H370" t="s">
        <v>2</v>
      </c>
      <c r="I370" s="3">
        <v>3</v>
      </c>
      <c r="J370" s="2">
        <v>500</v>
      </c>
      <c r="K370" s="2">
        <v>1500</v>
      </c>
    </row>
    <row r="371" spans="1:11" x14ac:dyDescent="0.3">
      <c r="A371">
        <v>425</v>
      </c>
      <c r="B371" s="1">
        <v>45061</v>
      </c>
      <c r="C371" s="3">
        <f t="shared" si="10"/>
        <v>2023</v>
      </c>
      <c r="D371" s="3">
        <f t="shared" si="11"/>
        <v>5</v>
      </c>
      <c r="E371" t="s">
        <v>121</v>
      </c>
      <c r="F371" t="s">
        <v>1023</v>
      </c>
      <c r="G371">
        <v>55</v>
      </c>
      <c r="H371" t="s">
        <v>4</v>
      </c>
      <c r="I371" s="3">
        <v>4</v>
      </c>
      <c r="J371" s="2">
        <v>30</v>
      </c>
      <c r="K371" s="2">
        <v>120</v>
      </c>
    </row>
    <row r="372" spans="1:11" x14ac:dyDescent="0.3">
      <c r="A372">
        <v>48</v>
      </c>
      <c r="B372" s="1">
        <v>45062</v>
      </c>
      <c r="C372" s="3">
        <f t="shared" si="10"/>
        <v>2023</v>
      </c>
      <c r="D372" s="3">
        <f t="shared" si="11"/>
        <v>5</v>
      </c>
      <c r="E372" t="s">
        <v>499</v>
      </c>
      <c r="F372" t="s">
        <v>1022</v>
      </c>
      <c r="G372">
        <v>54</v>
      </c>
      <c r="H372" t="s">
        <v>4</v>
      </c>
      <c r="I372" s="3">
        <v>3</v>
      </c>
      <c r="J372" s="2">
        <v>300</v>
      </c>
      <c r="K372" s="2">
        <v>900</v>
      </c>
    </row>
    <row r="373" spans="1:11" x14ac:dyDescent="0.3">
      <c r="A373">
        <v>118</v>
      </c>
      <c r="B373" s="1">
        <v>45062</v>
      </c>
      <c r="C373" s="3">
        <f t="shared" si="10"/>
        <v>2023</v>
      </c>
      <c r="D373" s="3">
        <f t="shared" si="11"/>
        <v>5</v>
      </c>
      <c r="E373" t="s">
        <v>256</v>
      </c>
      <c r="F373" t="s">
        <v>1023</v>
      </c>
      <c r="G373">
        <v>30</v>
      </c>
      <c r="H373" t="s">
        <v>4</v>
      </c>
      <c r="I373" s="3">
        <v>4</v>
      </c>
      <c r="J373" s="2">
        <v>500</v>
      </c>
      <c r="K373" s="2">
        <v>2000</v>
      </c>
    </row>
    <row r="374" spans="1:11" x14ac:dyDescent="0.3">
      <c r="A374">
        <v>203</v>
      </c>
      <c r="B374" s="1">
        <v>45062</v>
      </c>
      <c r="C374" s="3">
        <f t="shared" si="10"/>
        <v>2023</v>
      </c>
      <c r="D374" s="3">
        <f t="shared" si="11"/>
        <v>5</v>
      </c>
      <c r="E374" t="s">
        <v>718</v>
      </c>
      <c r="F374" t="s">
        <v>1022</v>
      </c>
      <c r="G374">
        <v>56</v>
      </c>
      <c r="H374" t="s">
        <v>3</v>
      </c>
      <c r="I374" s="3">
        <v>2</v>
      </c>
      <c r="J374" s="2">
        <v>500</v>
      </c>
      <c r="K374" s="2">
        <v>1000</v>
      </c>
    </row>
    <row r="375" spans="1:11" x14ac:dyDescent="0.3">
      <c r="A375">
        <v>305</v>
      </c>
      <c r="B375" s="1">
        <v>45062</v>
      </c>
      <c r="C375" s="3">
        <f t="shared" si="10"/>
        <v>2023</v>
      </c>
      <c r="D375" s="3">
        <f t="shared" si="11"/>
        <v>5</v>
      </c>
      <c r="E375" t="s">
        <v>980</v>
      </c>
      <c r="F375" t="s">
        <v>1023</v>
      </c>
      <c r="G375">
        <v>18</v>
      </c>
      <c r="H375" t="s">
        <v>2</v>
      </c>
      <c r="I375" s="3">
        <v>1</v>
      </c>
      <c r="J375" s="2">
        <v>30</v>
      </c>
      <c r="K375" s="2">
        <v>30</v>
      </c>
    </row>
    <row r="376" spans="1:11" x14ac:dyDescent="0.3">
      <c r="A376">
        <v>358</v>
      </c>
      <c r="B376" s="1">
        <v>45062</v>
      </c>
      <c r="C376" s="3">
        <f t="shared" si="10"/>
        <v>2023</v>
      </c>
      <c r="D376" s="3">
        <f t="shared" si="11"/>
        <v>5</v>
      </c>
      <c r="E376" t="s">
        <v>928</v>
      </c>
      <c r="F376" t="s">
        <v>1023</v>
      </c>
      <c r="G376">
        <v>32</v>
      </c>
      <c r="H376" t="s">
        <v>2</v>
      </c>
      <c r="I376" s="3">
        <v>1</v>
      </c>
      <c r="J376" s="2">
        <v>300</v>
      </c>
      <c r="K376" s="2">
        <v>300</v>
      </c>
    </row>
    <row r="377" spans="1:11" x14ac:dyDescent="0.3">
      <c r="A377">
        <v>376</v>
      </c>
      <c r="B377" s="1">
        <v>45062</v>
      </c>
      <c r="C377" s="3">
        <f t="shared" si="10"/>
        <v>2023</v>
      </c>
      <c r="D377" s="3">
        <f t="shared" si="11"/>
        <v>5</v>
      </c>
      <c r="E377" t="s">
        <v>901</v>
      </c>
      <c r="F377" t="s">
        <v>1023</v>
      </c>
      <c r="G377">
        <v>64</v>
      </c>
      <c r="H377" t="s">
        <v>2</v>
      </c>
      <c r="I377" s="3">
        <v>1</v>
      </c>
      <c r="J377" s="2">
        <v>30</v>
      </c>
      <c r="K377" s="2">
        <v>30</v>
      </c>
    </row>
    <row r="378" spans="1:11" x14ac:dyDescent="0.3">
      <c r="A378">
        <v>398</v>
      </c>
      <c r="B378" s="1">
        <v>45062</v>
      </c>
      <c r="C378" s="3">
        <f t="shared" si="10"/>
        <v>2023</v>
      </c>
      <c r="D378" s="3">
        <f t="shared" si="11"/>
        <v>5</v>
      </c>
      <c r="E378" t="s">
        <v>652</v>
      </c>
      <c r="F378" t="s">
        <v>1023</v>
      </c>
      <c r="G378">
        <v>48</v>
      </c>
      <c r="H378" t="s">
        <v>3</v>
      </c>
      <c r="I378" s="3">
        <v>2</v>
      </c>
      <c r="J378" s="2">
        <v>300</v>
      </c>
      <c r="K378" s="2">
        <v>600</v>
      </c>
    </row>
    <row r="379" spans="1:11" x14ac:dyDescent="0.3">
      <c r="A379">
        <v>411</v>
      </c>
      <c r="B379" s="1">
        <v>45062</v>
      </c>
      <c r="C379" s="3">
        <f t="shared" si="10"/>
        <v>2023</v>
      </c>
      <c r="D379" s="3">
        <f t="shared" si="11"/>
        <v>5</v>
      </c>
      <c r="E379" t="s">
        <v>109</v>
      </c>
      <c r="F379" t="s">
        <v>1022</v>
      </c>
      <c r="G379">
        <v>62</v>
      </c>
      <c r="H379" t="s">
        <v>4</v>
      </c>
      <c r="I379" s="3">
        <v>4</v>
      </c>
      <c r="J379" s="2">
        <v>50</v>
      </c>
      <c r="K379" s="2">
        <v>200</v>
      </c>
    </row>
    <row r="380" spans="1:11" x14ac:dyDescent="0.3">
      <c r="A380">
        <v>504</v>
      </c>
      <c r="B380" s="1">
        <v>45062</v>
      </c>
      <c r="C380" s="3">
        <f t="shared" si="10"/>
        <v>2023</v>
      </c>
      <c r="D380" s="3">
        <f t="shared" si="11"/>
        <v>5</v>
      </c>
      <c r="E380" t="s">
        <v>412</v>
      </c>
      <c r="F380" t="s">
        <v>1023</v>
      </c>
      <c r="G380">
        <v>38</v>
      </c>
      <c r="H380" t="s">
        <v>2</v>
      </c>
      <c r="I380" s="3">
        <v>3</v>
      </c>
      <c r="J380" s="2">
        <v>50</v>
      </c>
      <c r="K380" s="2">
        <v>150</v>
      </c>
    </row>
    <row r="381" spans="1:11" x14ac:dyDescent="0.3">
      <c r="A381">
        <v>970</v>
      </c>
      <c r="B381" s="1">
        <v>45062</v>
      </c>
      <c r="C381" s="3">
        <f t="shared" si="10"/>
        <v>2023</v>
      </c>
      <c r="D381" s="3">
        <f t="shared" si="11"/>
        <v>5</v>
      </c>
      <c r="E381" t="s">
        <v>97</v>
      </c>
      <c r="F381" t="s">
        <v>1022</v>
      </c>
      <c r="G381">
        <v>59</v>
      </c>
      <c r="H381" t="s">
        <v>4</v>
      </c>
      <c r="I381" s="3">
        <v>4</v>
      </c>
      <c r="J381" s="2">
        <v>500</v>
      </c>
      <c r="K381" s="2">
        <v>2000</v>
      </c>
    </row>
    <row r="382" spans="1:11" x14ac:dyDescent="0.3">
      <c r="A382">
        <v>996</v>
      </c>
      <c r="B382" s="1">
        <v>45062</v>
      </c>
      <c r="C382" s="3">
        <f t="shared" si="10"/>
        <v>2023</v>
      </c>
      <c r="D382" s="3">
        <f t="shared" si="11"/>
        <v>5</v>
      </c>
      <c r="E382" t="s">
        <v>783</v>
      </c>
      <c r="F382" t="s">
        <v>1022</v>
      </c>
      <c r="G382">
        <v>62</v>
      </c>
      <c r="H382" t="s">
        <v>3</v>
      </c>
      <c r="I382" s="3">
        <v>1</v>
      </c>
      <c r="J382" s="2">
        <v>50</v>
      </c>
      <c r="K382" s="2">
        <v>50</v>
      </c>
    </row>
    <row r="383" spans="1:11" x14ac:dyDescent="0.3">
      <c r="A383">
        <v>81</v>
      </c>
      <c r="B383" s="1">
        <v>45063</v>
      </c>
      <c r="C383" s="3">
        <f t="shared" si="10"/>
        <v>2023</v>
      </c>
      <c r="D383" s="3">
        <f t="shared" si="11"/>
        <v>5</v>
      </c>
      <c r="E383" t="s">
        <v>976</v>
      </c>
      <c r="F383" t="s">
        <v>1022</v>
      </c>
      <c r="G383">
        <v>40</v>
      </c>
      <c r="H383" t="s">
        <v>4</v>
      </c>
      <c r="I383" s="3">
        <v>1</v>
      </c>
      <c r="J383" s="2">
        <v>50</v>
      </c>
      <c r="K383" s="2">
        <v>50</v>
      </c>
    </row>
    <row r="384" spans="1:11" x14ac:dyDescent="0.3">
      <c r="A384">
        <v>155</v>
      </c>
      <c r="B384" s="1">
        <v>45063</v>
      </c>
      <c r="C384" s="3">
        <f t="shared" si="10"/>
        <v>2023</v>
      </c>
      <c r="D384" s="3">
        <f t="shared" si="11"/>
        <v>5</v>
      </c>
      <c r="E384" t="s">
        <v>278</v>
      </c>
      <c r="F384" t="s">
        <v>1022</v>
      </c>
      <c r="G384">
        <v>31</v>
      </c>
      <c r="H384" t="s">
        <v>4</v>
      </c>
      <c r="I384" s="3">
        <v>4</v>
      </c>
      <c r="J384" s="2">
        <v>500</v>
      </c>
      <c r="K384" s="2">
        <v>2000</v>
      </c>
    </row>
    <row r="385" spans="1:11" x14ac:dyDescent="0.3">
      <c r="A385">
        <v>470</v>
      </c>
      <c r="B385" s="1">
        <v>45063</v>
      </c>
      <c r="C385" s="3">
        <f t="shared" si="10"/>
        <v>2023</v>
      </c>
      <c r="D385" s="3">
        <f t="shared" si="11"/>
        <v>5</v>
      </c>
      <c r="E385" t="s">
        <v>626</v>
      </c>
      <c r="F385" t="s">
        <v>1023</v>
      </c>
      <c r="G385">
        <v>57</v>
      </c>
      <c r="H385" t="s">
        <v>3</v>
      </c>
      <c r="I385" s="3">
        <v>2</v>
      </c>
      <c r="J385" s="2">
        <v>500</v>
      </c>
      <c r="K385" s="2">
        <v>1000</v>
      </c>
    </row>
    <row r="386" spans="1:11" x14ac:dyDescent="0.3">
      <c r="A386">
        <v>106</v>
      </c>
      <c r="B386" s="1">
        <v>45064</v>
      </c>
      <c r="C386" s="3">
        <f t="shared" ref="C386:C449" si="12">YEAR(B386)</f>
        <v>2023</v>
      </c>
      <c r="D386" s="3">
        <f t="shared" ref="D386:D449" si="13">MONTH(B386)</f>
        <v>5</v>
      </c>
      <c r="E386" t="s">
        <v>996</v>
      </c>
      <c r="F386" t="s">
        <v>1023</v>
      </c>
      <c r="G386">
        <v>46</v>
      </c>
      <c r="H386" t="s">
        <v>3</v>
      </c>
      <c r="I386" s="3">
        <v>1</v>
      </c>
      <c r="J386" s="2">
        <v>50</v>
      </c>
      <c r="K386" s="2">
        <v>50</v>
      </c>
    </row>
    <row r="387" spans="1:11" x14ac:dyDescent="0.3">
      <c r="A387">
        <v>818</v>
      </c>
      <c r="B387" s="1">
        <v>45064</v>
      </c>
      <c r="C387" s="3">
        <f t="shared" si="12"/>
        <v>2023</v>
      </c>
      <c r="D387" s="3">
        <f t="shared" si="13"/>
        <v>5</v>
      </c>
      <c r="E387" t="s">
        <v>775</v>
      </c>
      <c r="F387" t="s">
        <v>1022</v>
      </c>
      <c r="G387">
        <v>30</v>
      </c>
      <c r="H387" t="s">
        <v>4</v>
      </c>
      <c r="I387" s="3">
        <v>1</v>
      </c>
      <c r="J387" s="2">
        <v>500</v>
      </c>
      <c r="K387" s="2">
        <v>500</v>
      </c>
    </row>
    <row r="388" spans="1:11" x14ac:dyDescent="0.3">
      <c r="A388">
        <v>94</v>
      </c>
      <c r="B388" s="1">
        <v>45065</v>
      </c>
      <c r="C388" s="3">
        <f t="shared" si="12"/>
        <v>2023</v>
      </c>
      <c r="D388" s="3">
        <f t="shared" si="13"/>
        <v>5</v>
      </c>
      <c r="E388" t="s">
        <v>753</v>
      </c>
      <c r="F388" t="s">
        <v>1023</v>
      </c>
      <c r="G388">
        <v>47</v>
      </c>
      <c r="H388" t="s">
        <v>2</v>
      </c>
      <c r="I388" s="3">
        <v>2</v>
      </c>
      <c r="J388" s="2">
        <v>500</v>
      </c>
      <c r="K388" s="2">
        <v>1000</v>
      </c>
    </row>
    <row r="389" spans="1:11" x14ac:dyDescent="0.3">
      <c r="A389">
        <v>811</v>
      </c>
      <c r="B389" s="1">
        <v>45065</v>
      </c>
      <c r="C389" s="3">
        <f t="shared" si="12"/>
        <v>2023</v>
      </c>
      <c r="D389" s="3">
        <f t="shared" si="13"/>
        <v>5</v>
      </c>
      <c r="E389" t="s">
        <v>567</v>
      </c>
      <c r="F389" t="s">
        <v>1022</v>
      </c>
      <c r="G389">
        <v>61</v>
      </c>
      <c r="H389" t="s">
        <v>2</v>
      </c>
      <c r="I389" s="3">
        <v>2</v>
      </c>
      <c r="J389" s="2">
        <v>25</v>
      </c>
      <c r="K389" s="2">
        <v>50</v>
      </c>
    </row>
    <row r="390" spans="1:11" x14ac:dyDescent="0.3">
      <c r="A390">
        <v>881</v>
      </c>
      <c r="B390" s="1">
        <v>45065</v>
      </c>
      <c r="C390" s="3">
        <f t="shared" si="12"/>
        <v>2023</v>
      </c>
      <c r="D390" s="3">
        <f t="shared" si="13"/>
        <v>5</v>
      </c>
      <c r="E390" t="s">
        <v>855</v>
      </c>
      <c r="F390" t="s">
        <v>1022</v>
      </c>
      <c r="G390">
        <v>22</v>
      </c>
      <c r="H390" t="s">
        <v>4</v>
      </c>
      <c r="I390" s="3">
        <v>1</v>
      </c>
      <c r="J390" s="2">
        <v>300</v>
      </c>
      <c r="K390" s="2">
        <v>300</v>
      </c>
    </row>
    <row r="391" spans="1:11" x14ac:dyDescent="0.3">
      <c r="A391">
        <v>403</v>
      </c>
      <c r="B391" s="1">
        <v>45066</v>
      </c>
      <c r="C391" s="3">
        <f t="shared" si="12"/>
        <v>2023</v>
      </c>
      <c r="D391" s="3">
        <f t="shared" si="13"/>
        <v>5</v>
      </c>
      <c r="E391" t="s">
        <v>670</v>
      </c>
      <c r="F391" t="s">
        <v>1022</v>
      </c>
      <c r="G391">
        <v>32</v>
      </c>
      <c r="H391" t="s">
        <v>3</v>
      </c>
      <c r="I391" s="3">
        <v>2</v>
      </c>
      <c r="J391" s="2">
        <v>300</v>
      </c>
      <c r="K391" s="2">
        <v>600</v>
      </c>
    </row>
    <row r="392" spans="1:11" x14ac:dyDescent="0.3">
      <c r="A392">
        <v>653</v>
      </c>
      <c r="B392" s="1">
        <v>45066</v>
      </c>
      <c r="C392" s="3">
        <f t="shared" si="12"/>
        <v>2023</v>
      </c>
      <c r="D392" s="3">
        <f t="shared" si="13"/>
        <v>5</v>
      </c>
      <c r="E392" t="s">
        <v>18</v>
      </c>
      <c r="F392" t="s">
        <v>1022</v>
      </c>
      <c r="G392">
        <v>54</v>
      </c>
      <c r="H392" t="s">
        <v>3</v>
      </c>
      <c r="I392" s="3">
        <v>3</v>
      </c>
      <c r="J392" s="2">
        <v>25</v>
      </c>
      <c r="K392" s="2">
        <v>75</v>
      </c>
    </row>
    <row r="393" spans="1:11" x14ac:dyDescent="0.3">
      <c r="A393">
        <v>694</v>
      </c>
      <c r="B393" s="1">
        <v>45066</v>
      </c>
      <c r="C393" s="3">
        <f t="shared" si="12"/>
        <v>2023</v>
      </c>
      <c r="D393" s="3">
        <f t="shared" si="13"/>
        <v>5</v>
      </c>
      <c r="E393" t="s">
        <v>569</v>
      </c>
      <c r="F393" t="s">
        <v>1023</v>
      </c>
      <c r="G393">
        <v>39</v>
      </c>
      <c r="H393" t="s">
        <v>4</v>
      </c>
      <c r="I393" s="3">
        <v>2</v>
      </c>
      <c r="J393" s="2">
        <v>25</v>
      </c>
      <c r="K393" s="2">
        <v>50</v>
      </c>
    </row>
    <row r="394" spans="1:11" x14ac:dyDescent="0.3">
      <c r="A394">
        <v>4</v>
      </c>
      <c r="B394" s="1">
        <v>45067</v>
      </c>
      <c r="C394" s="3">
        <f t="shared" si="12"/>
        <v>2023</v>
      </c>
      <c r="D394" s="3">
        <f t="shared" si="13"/>
        <v>5</v>
      </c>
      <c r="E394" t="s">
        <v>983</v>
      </c>
      <c r="F394" t="s">
        <v>1022</v>
      </c>
      <c r="G394">
        <v>37</v>
      </c>
      <c r="H394" t="s">
        <v>3</v>
      </c>
      <c r="I394" s="3">
        <v>1</v>
      </c>
      <c r="J394" s="2">
        <v>500</v>
      </c>
      <c r="K394" s="2">
        <v>500</v>
      </c>
    </row>
    <row r="395" spans="1:11" x14ac:dyDescent="0.3">
      <c r="A395">
        <v>647</v>
      </c>
      <c r="B395" s="1">
        <v>45067</v>
      </c>
      <c r="C395" s="3">
        <f t="shared" si="12"/>
        <v>2023</v>
      </c>
      <c r="D395" s="3">
        <f t="shared" si="13"/>
        <v>5</v>
      </c>
      <c r="E395" t="s">
        <v>433</v>
      </c>
      <c r="F395" t="s">
        <v>1022</v>
      </c>
      <c r="G395">
        <v>59</v>
      </c>
      <c r="H395" t="s">
        <v>3</v>
      </c>
      <c r="I395" s="3">
        <v>3</v>
      </c>
      <c r="J395" s="2">
        <v>500</v>
      </c>
      <c r="K395" s="2">
        <v>1500</v>
      </c>
    </row>
    <row r="396" spans="1:11" x14ac:dyDescent="0.3">
      <c r="A396">
        <v>911</v>
      </c>
      <c r="B396" s="1">
        <v>45067</v>
      </c>
      <c r="C396" s="3">
        <f t="shared" si="12"/>
        <v>2023</v>
      </c>
      <c r="D396" s="3">
        <f t="shared" si="13"/>
        <v>5</v>
      </c>
      <c r="E396" t="s">
        <v>309</v>
      </c>
      <c r="F396" t="s">
        <v>1022</v>
      </c>
      <c r="G396">
        <v>42</v>
      </c>
      <c r="H396" t="s">
        <v>4</v>
      </c>
      <c r="I396" s="3">
        <v>3</v>
      </c>
      <c r="J396" s="2">
        <v>300</v>
      </c>
      <c r="K396" s="2">
        <v>900</v>
      </c>
    </row>
    <row r="397" spans="1:11" x14ac:dyDescent="0.3">
      <c r="A397">
        <v>419</v>
      </c>
      <c r="B397" s="1">
        <v>45068</v>
      </c>
      <c r="C397" s="3">
        <f t="shared" si="12"/>
        <v>2023</v>
      </c>
      <c r="D397" s="3">
        <f t="shared" si="13"/>
        <v>5</v>
      </c>
      <c r="E397" t="s">
        <v>427</v>
      </c>
      <c r="F397" t="s">
        <v>1023</v>
      </c>
      <c r="G397">
        <v>44</v>
      </c>
      <c r="H397" t="s">
        <v>3</v>
      </c>
      <c r="I397" s="3">
        <v>3</v>
      </c>
      <c r="J397" s="2">
        <v>30</v>
      </c>
      <c r="K397" s="2">
        <v>90</v>
      </c>
    </row>
    <row r="398" spans="1:11" x14ac:dyDescent="0.3">
      <c r="A398">
        <v>642</v>
      </c>
      <c r="B398" s="1">
        <v>45068</v>
      </c>
      <c r="C398" s="3">
        <f t="shared" si="12"/>
        <v>2023</v>
      </c>
      <c r="D398" s="3">
        <f t="shared" si="13"/>
        <v>5</v>
      </c>
      <c r="E398" t="s">
        <v>120</v>
      </c>
      <c r="F398" t="s">
        <v>1023</v>
      </c>
      <c r="G398">
        <v>54</v>
      </c>
      <c r="H398" t="s">
        <v>3</v>
      </c>
      <c r="I398" s="3">
        <v>4</v>
      </c>
      <c r="J398" s="2">
        <v>25</v>
      </c>
      <c r="K398" s="2">
        <v>100</v>
      </c>
    </row>
    <row r="399" spans="1:11" x14ac:dyDescent="0.3">
      <c r="A399">
        <v>843</v>
      </c>
      <c r="B399" s="1">
        <v>45068</v>
      </c>
      <c r="C399" s="3">
        <f t="shared" si="12"/>
        <v>2023</v>
      </c>
      <c r="D399" s="3">
        <f t="shared" si="13"/>
        <v>5</v>
      </c>
      <c r="E399" t="s">
        <v>356</v>
      </c>
      <c r="F399" t="s">
        <v>1022</v>
      </c>
      <c r="G399">
        <v>21</v>
      </c>
      <c r="H399" t="s">
        <v>2</v>
      </c>
      <c r="I399" s="3">
        <v>3</v>
      </c>
      <c r="J399" s="2">
        <v>500</v>
      </c>
      <c r="K399" s="2">
        <v>1500</v>
      </c>
    </row>
    <row r="400" spans="1:11" x14ac:dyDescent="0.3">
      <c r="A400">
        <v>895</v>
      </c>
      <c r="B400" s="1">
        <v>45068</v>
      </c>
      <c r="C400" s="3">
        <f t="shared" si="12"/>
        <v>2023</v>
      </c>
      <c r="D400" s="3">
        <f t="shared" si="13"/>
        <v>5</v>
      </c>
      <c r="E400" t="s">
        <v>81</v>
      </c>
      <c r="F400" t="s">
        <v>1023</v>
      </c>
      <c r="G400">
        <v>55</v>
      </c>
      <c r="H400" t="s">
        <v>3</v>
      </c>
      <c r="I400" s="3">
        <v>4</v>
      </c>
      <c r="J400" s="2">
        <v>30</v>
      </c>
      <c r="K400" s="2">
        <v>120</v>
      </c>
    </row>
    <row r="401" spans="1:11" x14ac:dyDescent="0.3">
      <c r="A401">
        <v>31</v>
      </c>
      <c r="B401" s="1">
        <v>45069</v>
      </c>
      <c r="C401" s="3">
        <f t="shared" si="12"/>
        <v>2023</v>
      </c>
      <c r="D401" s="3">
        <f t="shared" si="13"/>
        <v>5</v>
      </c>
      <c r="E401" t="s">
        <v>210</v>
      </c>
      <c r="F401" t="s">
        <v>1022</v>
      </c>
      <c r="G401">
        <v>44</v>
      </c>
      <c r="H401" t="s">
        <v>4</v>
      </c>
      <c r="I401" s="3">
        <v>4</v>
      </c>
      <c r="J401" s="2">
        <v>300</v>
      </c>
      <c r="K401" s="2">
        <v>1200</v>
      </c>
    </row>
    <row r="402" spans="1:11" x14ac:dyDescent="0.3">
      <c r="A402">
        <v>37</v>
      </c>
      <c r="B402" s="1">
        <v>45069</v>
      </c>
      <c r="C402" s="3">
        <f t="shared" si="12"/>
        <v>2023</v>
      </c>
      <c r="D402" s="3">
        <f t="shared" si="13"/>
        <v>5</v>
      </c>
      <c r="E402" t="s">
        <v>473</v>
      </c>
      <c r="F402" t="s">
        <v>1023</v>
      </c>
      <c r="G402">
        <v>18</v>
      </c>
      <c r="H402" t="s">
        <v>2</v>
      </c>
      <c r="I402" s="3">
        <v>3</v>
      </c>
      <c r="J402" s="2">
        <v>25</v>
      </c>
      <c r="K402" s="2">
        <v>75</v>
      </c>
    </row>
    <row r="403" spans="1:11" x14ac:dyDescent="0.3">
      <c r="A403">
        <v>72</v>
      </c>
      <c r="B403" s="1">
        <v>45069</v>
      </c>
      <c r="C403" s="3">
        <f t="shared" si="12"/>
        <v>2023</v>
      </c>
      <c r="D403" s="3">
        <f t="shared" si="13"/>
        <v>5</v>
      </c>
      <c r="E403" t="s">
        <v>232</v>
      </c>
      <c r="F403" t="s">
        <v>1023</v>
      </c>
      <c r="G403">
        <v>20</v>
      </c>
      <c r="H403" t="s">
        <v>4</v>
      </c>
      <c r="I403" s="3">
        <v>4</v>
      </c>
      <c r="J403" s="2">
        <v>500</v>
      </c>
      <c r="K403" s="2">
        <v>2000</v>
      </c>
    </row>
    <row r="404" spans="1:11" x14ac:dyDescent="0.3">
      <c r="A404">
        <v>243</v>
      </c>
      <c r="B404" s="1">
        <v>45069</v>
      </c>
      <c r="C404" s="3">
        <f t="shared" si="12"/>
        <v>2023</v>
      </c>
      <c r="D404" s="3">
        <f t="shared" si="13"/>
        <v>5</v>
      </c>
      <c r="E404" t="s">
        <v>468</v>
      </c>
      <c r="F404" t="s">
        <v>1023</v>
      </c>
      <c r="G404">
        <v>47</v>
      </c>
      <c r="H404" t="s">
        <v>4</v>
      </c>
      <c r="I404" s="3">
        <v>3</v>
      </c>
      <c r="J404" s="2">
        <v>300</v>
      </c>
      <c r="K404" s="2">
        <v>900</v>
      </c>
    </row>
    <row r="405" spans="1:11" x14ac:dyDescent="0.3">
      <c r="A405">
        <v>281</v>
      </c>
      <c r="B405" s="1">
        <v>45069</v>
      </c>
      <c r="C405" s="3">
        <f t="shared" si="12"/>
        <v>2023</v>
      </c>
      <c r="D405" s="3">
        <f t="shared" si="13"/>
        <v>5</v>
      </c>
      <c r="E405" t="s">
        <v>201</v>
      </c>
      <c r="F405" t="s">
        <v>1023</v>
      </c>
      <c r="G405">
        <v>29</v>
      </c>
      <c r="H405" t="s">
        <v>2</v>
      </c>
      <c r="I405" s="3">
        <v>4</v>
      </c>
      <c r="J405" s="2">
        <v>500</v>
      </c>
      <c r="K405" s="2">
        <v>2000</v>
      </c>
    </row>
    <row r="406" spans="1:11" x14ac:dyDescent="0.3">
      <c r="A406">
        <v>489</v>
      </c>
      <c r="B406" s="1">
        <v>45069</v>
      </c>
      <c r="C406" s="3">
        <f t="shared" si="12"/>
        <v>2023</v>
      </c>
      <c r="D406" s="3">
        <f t="shared" si="13"/>
        <v>5</v>
      </c>
      <c r="E406" t="s">
        <v>915</v>
      </c>
      <c r="F406" t="s">
        <v>1022</v>
      </c>
      <c r="G406">
        <v>44</v>
      </c>
      <c r="H406" t="s">
        <v>4</v>
      </c>
      <c r="I406" s="3">
        <v>1</v>
      </c>
      <c r="J406" s="2">
        <v>30</v>
      </c>
      <c r="K406" s="2">
        <v>30</v>
      </c>
    </row>
    <row r="407" spans="1:11" x14ac:dyDescent="0.3">
      <c r="A407">
        <v>491</v>
      </c>
      <c r="B407" s="1">
        <v>45069</v>
      </c>
      <c r="C407" s="3">
        <f t="shared" si="12"/>
        <v>2023</v>
      </c>
      <c r="D407" s="3">
        <f t="shared" si="13"/>
        <v>5</v>
      </c>
      <c r="E407" t="s">
        <v>406</v>
      </c>
      <c r="F407" t="s">
        <v>1023</v>
      </c>
      <c r="G407">
        <v>60</v>
      </c>
      <c r="H407" t="s">
        <v>4</v>
      </c>
      <c r="I407" s="3">
        <v>3</v>
      </c>
      <c r="J407" s="2">
        <v>300</v>
      </c>
      <c r="K407" s="2">
        <v>900</v>
      </c>
    </row>
    <row r="408" spans="1:11" x14ac:dyDescent="0.3">
      <c r="A408">
        <v>729</v>
      </c>
      <c r="B408" s="1">
        <v>45069</v>
      </c>
      <c r="C408" s="3">
        <f t="shared" si="12"/>
        <v>2023</v>
      </c>
      <c r="D408" s="3">
        <f t="shared" si="13"/>
        <v>5</v>
      </c>
      <c r="E408" t="s">
        <v>52</v>
      </c>
      <c r="F408" t="s">
        <v>1022</v>
      </c>
      <c r="G408">
        <v>29</v>
      </c>
      <c r="H408" t="s">
        <v>3</v>
      </c>
      <c r="I408" s="3">
        <v>4</v>
      </c>
      <c r="J408" s="2">
        <v>300</v>
      </c>
      <c r="K408" s="2">
        <v>1200</v>
      </c>
    </row>
    <row r="409" spans="1:11" x14ac:dyDescent="0.3">
      <c r="A409">
        <v>822</v>
      </c>
      <c r="B409" s="1">
        <v>45069</v>
      </c>
      <c r="C409" s="3">
        <f t="shared" si="12"/>
        <v>2023</v>
      </c>
      <c r="D409" s="3">
        <f t="shared" si="13"/>
        <v>5</v>
      </c>
      <c r="E409" t="s">
        <v>334</v>
      </c>
      <c r="F409" t="s">
        <v>1023</v>
      </c>
      <c r="G409">
        <v>52</v>
      </c>
      <c r="H409" t="s">
        <v>2</v>
      </c>
      <c r="I409" s="3">
        <v>3</v>
      </c>
      <c r="J409" s="2">
        <v>50</v>
      </c>
      <c r="K409" s="2">
        <v>150</v>
      </c>
    </row>
    <row r="410" spans="1:11" x14ac:dyDescent="0.3">
      <c r="A410">
        <v>840</v>
      </c>
      <c r="B410" s="1">
        <v>45070</v>
      </c>
      <c r="C410" s="3">
        <f t="shared" si="12"/>
        <v>2023</v>
      </c>
      <c r="D410" s="3">
        <f t="shared" si="13"/>
        <v>5</v>
      </c>
      <c r="E410" t="s">
        <v>534</v>
      </c>
      <c r="F410" t="s">
        <v>1022</v>
      </c>
      <c r="G410">
        <v>62</v>
      </c>
      <c r="H410" t="s">
        <v>3</v>
      </c>
      <c r="I410" s="3">
        <v>2</v>
      </c>
      <c r="J410" s="2">
        <v>25</v>
      </c>
      <c r="K410" s="2">
        <v>50</v>
      </c>
    </row>
    <row r="411" spans="1:11" x14ac:dyDescent="0.3">
      <c r="A411">
        <v>404</v>
      </c>
      <c r="B411" s="1">
        <v>45071</v>
      </c>
      <c r="C411" s="3">
        <f t="shared" si="12"/>
        <v>2023</v>
      </c>
      <c r="D411" s="3">
        <f t="shared" si="13"/>
        <v>5</v>
      </c>
      <c r="E411" t="s">
        <v>672</v>
      </c>
      <c r="F411" t="s">
        <v>1022</v>
      </c>
      <c r="G411">
        <v>46</v>
      </c>
      <c r="H411" t="s">
        <v>4</v>
      </c>
      <c r="I411" s="3">
        <v>2</v>
      </c>
      <c r="J411" s="2">
        <v>500</v>
      </c>
      <c r="K411" s="2">
        <v>1000</v>
      </c>
    </row>
    <row r="412" spans="1:11" x14ac:dyDescent="0.3">
      <c r="A412">
        <v>899</v>
      </c>
      <c r="B412" s="1">
        <v>45071</v>
      </c>
      <c r="C412" s="3">
        <f t="shared" si="12"/>
        <v>2023</v>
      </c>
      <c r="D412" s="3">
        <f t="shared" si="13"/>
        <v>5</v>
      </c>
      <c r="E412" t="s">
        <v>582</v>
      </c>
      <c r="F412" t="s">
        <v>1022</v>
      </c>
      <c r="G412">
        <v>26</v>
      </c>
      <c r="H412" t="s">
        <v>3</v>
      </c>
      <c r="I412" s="3">
        <v>2</v>
      </c>
      <c r="J412" s="2">
        <v>300</v>
      </c>
      <c r="K412" s="2">
        <v>600</v>
      </c>
    </row>
    <row r="413" spans="1:11" x14ac:dyDescent="0.3">
      <c r="A413">
        <v>990</v>
      </c>
      <c r="B413" s="1">
        <v>45071</v>
      </c>
      <c r="C413" s="3">
        <f t="shared" si="12"/>
        <v>2023</v>
      </c>
      <c r="D413" s="3">
        <f t="shared" si="13"/>
        <v>5</v>
      </c>
      <c r="E413" t="s">
        <v>555</v>
      </c>
      <c r="F413" t="s">
        <v>1023</v>
      </c>
      <c r="G413">
        <v>58</v>
      </c>
      <c r="H413" t="s">
        <v>2</v>
      </c>
      <c r="I413" s="3">
        <v>2</v>
      </c>
      <c r="J413" s="2">
        <v>500</v>
      </c>
      <c r="K413" s="2">
        <v>1000</v>
      </c>
    </row>
    <row r="414" spans="1:11" x14ac:dyDescent="0.3">
      <c r="A414">
        <v>382</v>
      </c>
      <c r="B414" s="1">
        <v>45072</v>
      </c>
      <c r="C414" s="3">
        <f t="shared" si="12"/>
        <v>2023</v>
      </c>
      <c r="D414" s="3">
        <f t="shared" si="13"/>
        <v>5</v>
      </c>
      <c r="E414" t="s">
        <v>613</v>
      </c>
      <c r="F414" t="s">
        <v>1023</v>
      </c>
      <c r="G414">
        <v>53</v>
      </c>
      <c r="H414" t="s">
        <v>3</v>
      </c>
      <c r="I414" s="3">
        <v>2</v>
      </c>
      <c r="J414" s="2">
        <v>500</v>
      </c>
      <c r="K414" s="2">
        <v>1000</v>
      </c>
    </row>
    <row r="415" spans="1:11" x14ac:dyDescent="0.3">
      <c r="A415">
        <v>578</v>
      </c>
      <c r="B415" s="1">
        <v>45072</v>
      </c>
      <c r="C415" s="3">
        <f t="shared" si="12"/>
        <v>2023</v>
      </c>
      <c r="D415" s="3">
        <f t="shared" si="13"/>
        <v>5</v>
      </c>
      <c r="E415" t="s">
        <v>108</v>
      </c>
      <c r="F415" t="s">
        <v>1023</v>
      </c>
      <c r="G415">
        <v>54</v>
      </c>
      <c r="H415" t="s">
        <v>3</v>
      </c>
      <c r="I415" s="3">
        <v>4</v>
      </c>
      <c r="J415" s="2">
        <v>30</v>
      </c>
      <c r="K415" s="2">
        <v>120</v>
      </c>
    </row>
    <row r="416" spans="1:11" x14ac:dyDescent="0.3">
      <c r="A416">
        <v>923</v>
      </c>
      <c r="B416" s="1">
        <v>45072</v>
      </c>
      <c r="C416" s="3">
        <f t="shared" si="12"/>
        <v>2023</v>
      </c>
      <c r="D416" s="3">
        <f t="shared" si="13"/>
        <v>5</v>
      </c>
      <c r="E416" t="s">
        <v>343</v>
      </c>
      <c r="F416" t="s">
        <v>1022</v>
      </c>
      <c r="G416">
        <v>32</v>
      </c>
      <c r="H416" t="s">
        <v>2</v>
      </c>
      <c r="I416" s="3">
        <v>3</v>
      </c>
      <c r="J416" s="2">
        <v>300</v>
      </c>
      <c r="K416" s="2">
        <v>900</v>
      </c>
    </row>
    <row r="417" spans="1:11" x14ac:dyDescent="0.3">
      <c r="A417">
        <v>307</v>
      </c>
      <c r="B417" s="1">
        <v>45073</v>
      </c>
      <c r="C417" s="3">
        <f t="shared" si="12"/>
        <v>2023</v>
      </c>
      <c r="D417" s="3">
        <f t="shared" si="13"/>
        <v>5</v>
      </c>
      <c r="E417" t="s">
        <v>681</v>
      </c>
      <c r="F417" t="s">
        <v>1023</v>
      </c>
      <c r="G417">
        <v>26</v>
      </c>
      <c r="H417" t="s">
        <v>4</v>
      </c>
      <c r="I417" s="3">
        <v>2</v>
      </c>
      <c r="J417" s="2">
        <v>25</v>
      </c>
      <c r="K417" s="2">
        <v>50</v>
      </c>
    </row>
    <row r="418" spans="1:11" x14ac:dyDescent="0.3">
      <c r="A418">
        <v>561</v>
      </c>
      <c r="B418" s="1">
        <v>45073</v>
      </c>
      <c r="C418" s="3">
        <f t="shared" si="12"/>
        <v>2023</v>
      </c>
      <c r="D418" s="3">
        <f t="shared" si="13"/>
        <v>5</v>
      </c>
      <c r="E418" t="s">
        <v>114</v>
      </c>
      <c r="F418" t="s">
        <v>1023</v>
      </c>
      <c r="G418">
        <v>64</v>
      </c>
      <c r="H418" t="s">
        <v>3</v>
      </c>
      <c r="I418" s="3">
        <v>4</v>
      </c>
      <c r="J418" s="2">
        <v>500</v>
      </c>
      <c r="K418" s="2">
        <v>2000</v>
      </c>
    </row>
    <row r="419" spans="1:11" x14ac:dyDescent="0.3">
      <c r="A419">
        <v>651</v>
      </c>
      <c r="B419" s="1">
        <v>45073</v>
      </c>
      <c r="C419" s="3">
        <f t="shared" si="12"/>
        <v>2023</v>
      </c>
      <c r="D419" s="3">
        <f t="shared" si="13"/>
        <v>5</v>
      </c>
      <c r="E419" t="s">
        <v>399</v>
      </c>
      <c r="F419" t="s">
        <v>1022</v>
      </c>
      <c r="G419">
        <v>51</v>
      </c>
      <c r="H419" t="s">
        <v>3</v>
      </c>
      <c r="I419" s="3">
        <v>3</v>
      </c>
      <c r="J419" s="2">
        <v>50</v>
      </c>
      <c r="K419" s="2">
        <v>150</v>
      </c>
    </row>
    <row r="420" spans="1:11" x14ac:dyDescent="0.3">
      <c r="A420">
        <v>988</v>
      </c>
      <c r="B420" s="1">
        <v>45074</v>
      </c>
      <c r="C420" s="3">
        <f t="shared" si="12"/>
        <v>2023</v>
      </c>
      <c r="D420" s="3">
        <f t="shared" si="13"/>
        <v>5</v>
      </c>
      <c r="E420" t="s">
        <v>361</v>
      </c>
      <c r="F420" t="s">
        <v>1023</v>
      </c>
      <c r="G420">
        <v>63</v>
      </c>
      <c r="H420" t="s">
        <v>3</v>
      </c>
      <c r="I420" s="3">
        <v>3</v>
      </c>
      <c r="J420" s="2">
        <v>25</v>
      </c>
      <c r="K420" s="2">
        <v>75</v>
      </c>
    </row>
    <row r="421" spans="1:11" x14ac:dyDescent="0.3">
      <c r="A421">
        <v>67</v>
      </c>
      <c r="B421" s="1">
        <v>45075</v>
      </c>
      <c r="C421" s="3">
        <f t="shared" si="12"/>
        <v>2023</v>
      </c>
      <c r="D421" s="3">
        <f t="shared" si="13"/>
        <v>5</v>
      </c>
      <c r="E421" t="s">
        <v>228</v>
      </c>
      <c r="F421" t="s">
        <v>1023</v>
      </c>
      <c r="G421">
        <v>48</v>
      </c>
      <c r="H421" t="s">
        <v>2</v>
      </c>
      <c r="I421" s="3">
        <v>4</v>
      </c>
      <c r="J421" s="2">
        <v>300</v>
      </c>
      <c r="K421" s="2">
        <v>1200</v>
      </c>
    </row>
    <row r="422" spans="1:11" x14ac:dyDescent="0.3">
      <c r="A422">
        <v>915</v>
      </c>
      <c r="B422" s="1">
        <v>45076</v>
      </c>
      <c r="C422" s="3">
        <f t="shared" si="12"/>
        <v>2023</v>
      </c>
      <c r="D422" s="3">
        <f t="shared" si="13"/>
        <v>5</v>
      </c>
      <c r="E422" t="s">
        <v>339</v>
      </c>
      <c r="F422" t="s">
        <v>1023</v>
      </c>
      <c r="G422">
        <v>26</v>
      </c>
      <c r="H422" t="s">
        <v>2</v>
      </c>
      <c r="I422" s="3">
        <v>3</v>
      </c>
      <c r="J422" s="2">
        <v>30</v>
      </c>
      <c r="K422" s="2">
        <v>90</v>
      </c>
    </row>
    <row r="423" spans="1:11" x14ac:dyDescent="0.3">
      <c r="A423">
        <v>985</v>
      </c>
      <c r="B423" s="1">
        <v>45076</v>
      </c>
      <c r="C423" s="3">
        <f t="shared" si="12"/>
        <v>2023</v>
      </c>
      <c r="D423" s="3">
        <f t="shared" si="13"/>
        <v>5</v>
      </c>
      <c r="E423" t="s">
        <v>537</v>
      </c>
      <c r="F423" t="s">
        <v>1023</v>
      </c>
      <c r="G423">
        <v>19</v>
      </c>
      <c r="H423" t="s">
        <v>4</v>
      </c>
      <c r="I423" s="3">
        <v>2</v>
      </c>
      <c r="J423" s="2">
        <v>25</v>
      </c>
      <c r="K423" s="2">
        <v>50</v>
      </c>
    </row>
    <row r="424" spans="1:11" x14ac:dyDescent="0.3">
      <c r="A424">
        <v>56</v>
      </c>
      <c r="B424" s="1">
        <v>45077</v>
      </c>
      <c r="C424" s="3">
        <f t="shared" si="12"/>
        <v>2023</v>
      </c>
      <c r="D424" s="3">
        <f t="shared" si="13"/>
        <v>5</v>
      </c>
      <c r="E424" t="s">
        <v>462</v>
      </c>
      <c r="F424" t="s">
        <v>1023</v>
      </c>
      <c r="G424">
        <v>26</v>
      </c>
      <c r="H424" t="s">
        <v>3</v>
      </c>
      <c r="I424" s="3">
        <v>3</v>
      </c>
      <c r="J424" s="2">
        <v>300</v>
      </c>
      <c r="K424" s="2">
        <v>900</v>
      </c>
    </row>
    <row r="425" spans="1:11" x14ac:dyDescent="0.3">
      <c r="A425">
        <v>159</v>
      </c>
      <c r="B425" s="1">
        <v>45077</v>
      </c>
      <c r="C425" s="3">
        <f t="shared" si="12"/>
        <v>2023</v>
      </c>
      <c r="D425" s="3">
        <f t="shared" si="13"/>
        <v>5</v>
      </c>
      <c r="E425" t="s">
        <v>283</v>
      </c>
      <c r="F425" t="s">
        <v>1022</v>
      </c>
      <c r="G425">
        <v>26</v>
      </c>
      <c r="H425" t="s">
        <v>3</v>
      </c>
      <c r="I425" s="3">
        <v>4</v>
      </c>
      <c r="J425" s="2">
        <v>50</v>
      </c>
      <c r="K425" s="2">
        <v>200</v>
      </c>
    </row>
    <row r="426" spans="1:11" x14ac:dyDescent="0.3">
      <c r="A426">
        <v>862</v>
      </c>
      <c r="B426" s="1">
        <v>45077</v>
      </c>
      <c r="C426" s="3">
        <f t="shared" si="12"/>
        <v>2023</v>
      </c>
      <c r="D426" s="3">
        <f t="shared" si="13"/>
        <v>5</v>
      </c>
      <c r="E426" t="s">
        <v>73</v>
      </c>
      <c r="F426" t="s">
        <v>1022</v>
      </c>
      <c r="G426">
        <v>28</v>
      </c>
      <c r="H426" t="s">
        <v>4</v>
      </c>
      <c r="I426" s="3">
        <v>4</v>
      </c>
      <c r="J426" s="2">
        <v>300</v>
      </c>
      <c r="K426" s="2">
        <v>1200</v>
      </c>
    </row>
    <row r="427" spans="1:11" x14ac:dyDescent="0.3">
      <c r="A427">
        <v>315</v>
      </c>
      <c r="B427" s="1">
        <v>45078</v>
      </c>
      <c r="C427" s="3">
        <f t="shared" si="12"/>
        <v>2023</v>
      </c>
      <c r="D427" s="3">
        <f t="shared" si="13"/>
        <v>6</v>
      </c>
      <c r="E427" t="s">
        <v>749</v>
      </c>
      <c r="F427" t="s">
        <v>1022</v>
      </c>
      <c r="G427">
        <v>47</v>
      </c>
      <c r="H427" t="s">
        <v>3</v>
      </c>
      <c r="I427" s="3">
        <v>2</v>
      </c>
      <c r="J427" s="2">
        <v>30</v>
      </c>
      <c r="K427" s="2">
        <v>60</v>
      </c>
    </row>
    <row r="428" spans="1:11" x14ac:dyDescent="0.3">
      <c r="A428">
        <v>545</v>
      </c>
      <c r="B428" s="1">
        <v>45078</v>
      </c>
      <c r="C428" s="3">
        <f t="shared" si="12"/>
        <v>2023</v>
      </c>
      <c r="D428" s="3">
        <f t="shared" si="13"/>
        <v>6</v>
      </c>
      <c r="E428" t="s">
        <v>630</v>
      </c>
      <c r="F428" t="s">
        <v>1022</v>
      </c>
      <c r="G428">
        <v>27</v>
      </c>
      <c r="H428" t="s">
        <v>3</v>
      </c>
      <c r="I428" s="3">
        <v>2</v>
      </c>
      <c r="J428" s="2">
        <v>25</v>
      </c>
      <c r="K428" s="2">
        <v>50</v>
      </c>
    </row>
    <row r="429" spans="1:11" x14ac:dyDescent="0.3">
      <c r="A429">
        <v>902</v>
      </c>
      <c r="B429" s="1">
        <v>45078</v>
      </c>
      <c r="C429" s="3">
        <f t="shared" si="12"/>
        <v>2023</v>
      </c>
      <c r="D429" s="3">
        <f t="shared" si="13"/>
        <v>6</v>
      </c>
      <c r="E429" t="s">
        <v>771</v>
      </c>
      <c r="F429" t="s">
        <v>1023</v>
      </c>
      <c r="G429">
        <v>54</v>
      </c>
      <c r="H429" t="s">
        <v>2</v>
      </c>
      <c r="I429" s="3">
        <v>1</v>
      </c>
      <c r="J429" s="2">
        <v>50</v>
      </c>
      <c r="K429" s="2">
        <v>50</v>
      </c>
    </row>
    <row r="430" spans="1:11" x14ac:dyDescent="0.3">
      <c r="A430">
        <v>170</v>
      </c>
      <c r="B430" s="1">
        <v>45079</v>
      </c>
      <c r="C430" s="3">
        <f t="shared" si="12"/>
        <v>2023</v>
      </c>
      <c r="D430" s="3">
        <f t="shared" si="13"/>
        <v>6</v>
      </c>
      <c r="E430" t="s">
        <v>678</v>
      </c>
      <c r="F430" t="s">
        <v>1023</v>
      </c>
      <c r="G430">
        <v>25</v>
      </c>
      <c r="H430" t="s">
        <v>3</v>
      </c>
      <c r="I430" s="3">
        <v>2</v>
      </c>
      <c r="J430" s="2">
        <v>25</v>
      </c>
      <c r="K430" s="2">
        <v>50</v>
      </c>
    </row>
    <row r="431" spans="1:11" x14ac:dyDescent="0.3">
      <c r="A431">
        <v>685</v>
      </c>
      <c r="B431" s="1">
        <v>45079</v>
      </c>
      <c r="C431" s="3">
        <f t="shared" si="12"/>
        <v>2023</v>
      </c>
      <c r="D431" s="3">
        <f t="shared" si="13"/>
        <v>6</v>
      </c>
      <c r="E431" t="s">
        <v>531</v>
      </c>
      <c r="F431" t="s">
        <v>1022</v>
      </c>
      <c r="G431">
        <v>57</v>
      </c>
      <c r="H431" t="s">
        <v>4</v>
      </c>
      <c r="I431" s="3">
        <v>2</v>
      </c>
      <c r="J431" s="2">
        <v>25</v>
      </c>
      <c r="K431" s="2">
        <v>50</v>
      </c>
    </row>
    <row r="432" spans="1:11" x14ac:dyDescent="0.3">
      <c r="A432">
        <v>958</v>
      </c>
      <c r="B432" s="1">
        <v>45079</v>
      </c>
      <c r="C432" s="3">
        <f t="shared" si="12"/>
        <v>2023</v>
      </c>
      <c r="D432" s="3">
        <f t="shared" si="13"/>
        <v>6</v>
      </c>
      <c r="E432" t="s">
        <v>547</v>
      </c>
      <c r="F432" t="s">
        <v>1022</v>
      </c>
      <c r="G432">
        <v>62</v>
      </c>
      <c r="H432" t="s">
        <v>4</v>
      </c>
      <c r="I432" s="3">
        <v>2</v>
      </c>
      <c r="J432" s="2">
        <v>25</v>
      </c>
      <c r="K432" s="2">
        <v>50</v>
      </c>
    </row>
    <row r="433" spans="1:11" x14ac:dyDescent="0.3">
      <c r="A433">
        <v>363</v>
      </c>
      <c r="B433" s="1">
        <v>45080</v>
      </c>
      <c r="C433" s="3">
        <f t="shared" si="12"/>
        <v>2023</v>
      </c>
      <c r="D433" s="3">
        <f t="shared" si="13"/>
        <v>6</v>
      </c>
      <c r="E433" t="s">
        <v>864</v>
      </c>
      <c r="F433" t="s">
        <v>1022</v>
      </c>
      <c r="G433">
        <v>64</v>
      </c>
      <c r="H433" t="s">
        <v>2</v>
      </c>
      <c r="I433" s="3">
        <v>1</v>
      </c>
      <c r="J433" s="2">
        <v>25</v>
      </c>
      <c r="K433" s="2">
        <v>25</v>
      </c>
    </row>
    <row r="434" spans="1:11" x14ac:dyDescent="0.3">
      <c r="A434">
        <v>394</v>
      </c>
      <c r="B434" s="1">
        <v>45080</v>
      </c>
      <c r="C434" s="3">
        <f t="shared" si="12"/>
        <v>2023</v>
      </c>
      <c r="D434" s="3">
        <f t="shared" si="13"/>
        <v>6</v>
      </c>
      <c r="E434" t="s">
        <v>904</v>
      </c>
      <c r="F434" t="s">
        <v>1023</v>
      </c>
      <c r="G434">
        <v>27</v>
      </c>
      <c r="H434" t="s">
        <v>3</v>
      </c>
      <c r="I434" s="3">
        <v>1</v>
      </c>
      <c r="J434" s="2">
        <v>500</v>
      </c>
      <c r="K434" s="2">
        <v>500</v>
      </c>
    </row>
    <row r="435" spans="1:11" x14ac:dyDescent="0.3">
      <c r="A435">
        <v>537</v>
      </c>
      <c r="B435" s="1">
        <v>45080</v>
      </c>
      <c r="C435" s="3">
        <f t="shared" si="12"/>
        <v>2023</v>
      </c>
      <c r="D435" s="3">
        <f t="shared" si="13"/>
        <v>6</v>
      </c>
      <c r="E435" t="s">
        <v>885</v>
      </c>
      <c r="F435" t="s">
        <v>1023</v>
      </c>
      <c r="G435">
        <v>21</v>
      </c>
      <c r="H435" t="s">
        <v>2</v>
      </c>
      <c r="I435" s="3">
        <v>1</v>
      </c>
      <c r="J435" s="2">
        <v>500</v>
      </c>
      <c r="K435" s="2">
        <v>500</v>
      </c>
    </row>
    <row r="436" spans="1:11" x14ac:dyDescent="0.3">
      <c r="A436">
        <v>387</v>
      </c>
      <c r="B436" s="1">
        <v>45081</v>
      </c>
      <c r="C436" s="3">
        <f t="shared" si="12"/>
        <v>2023</v>
      </c>
      <c r="D436" s="3">
        <f t="shared" si="13"/>
        <v>6</v>
      </c>
      <c r="E436" t="s">
        <v>868</v>
      </c>
      <c r="F436" t="s">
        <v>1022</v>
      </c>
      <c r="G436">
        <v>44</v>
      </c>
      <c r="H436" t="s">
        <v>2</v>
      </c>
      <c r="I436" s="3">
        <v>1</v>
      </c>
      <c r="J436" s="2">
        <v>30</v>
      </c>
      <c r="K436" s="2">
        <v>30</v>
      </c>
    </row>
    <row r="437" spans="1:11" x14ac:dyDescent="0.3">
      <c r="A437">
        <v>556</v>
      </c>
      <c r="B437" s="1">
        <v>45081</v>
      </c>
      <c r="C437" s="3">
        <f t="shared" si="12"/>
        <v>2023</v>
      </c>
      <c r="D437" s="3">
        <f t="shared" si="13"/>
        <v>6</v>
      </c>
      <c r="E437" t="s">
        <v>863</v>
      </c>
      <c r="F437" t="s">
        <v>1023</v>
      </c>
      <c r="G437">
        <v>18</v>
      </c>
      <c r="H437" t="s">
        <v>4</v>
      </c>
      <c r="I437" s="3">
        <v>1</v>
      </c>
      <c r="J437" s="2">
        <v>50</v>
      </c>
      <c r="K437" s="2">
        <v>50</v>
      </c>
    </row>
    <row r="438" spans="1:11" x14ac:dyDescent="0.3">
      <c r="A438">
        <v>782</v>
      </c>
      <c r="B438" s="1">
        <v>45081</v>
      </c>
      <c r="C438" s="3">
        <f t="shared" si="12"/>
        <v>2023</v>
      </c>
      <c r="D438" s="3">
        <f t="shared" si="13"/>
        <v>6</v>
      </c>
      <c r="E438" t="s">
        <v>310</v>
      </c>
      <c r="F438" t="s">
        <v>1022</v>
      </c>
      <c r="G438">
        <v>59</v>
      </c>
      <c r="H438" t="s">
        <v>3</v>
      </c>
      <c r="I438" s="3">
        <v>3</v>
      </c>
      <c r="J438" s="2">
        <v>300</v>
      </c>
      <c r="K438" s="2">
        <v>900</v>
      </c>
    </row>
    <row r="439" spans="1:11" x14ac:dyDescent="0.3">
      <c r="A439">
        <v>906</v>
      </c>
      <c r="B439" s="1">
        <v>45081</v>
      </c>
      <c r="C439" s="3">
        <f t="shared" si="12"/>
        <v>2023</v>
      </c>
      <c r="D439" s="3">
        <f t="shared" si="13"/>
        <v>6</v>
      </c>
      <c r="E439" t="s">
        <v>766</v>
      </c>
      <c r="F439" t="s">
        <v>1023</v>
      </c>
      <c r="G439">
        <v>20</v>
      </c>
      <c r="H439" t="s">
        <v>3</v>
      </c>
      <c r="I439" s="3">
        <v>1</v>
      </c>
      <c r="J439" s="2">
        <v>50</v>
      </c>
      <c r="K439" s="2">
        <v>50</v>
      </c>
    </row>
    <row r="440" spans="1:11" x14ac:dyDescent="0.3">
      <c r="A440">
        <v>560</v>
      </c>
      <c r="B440" s="1">
        <v>45082</v>
      </c>
      <c r="C440" s="3">
        <f t="shared" si="12"/>
        <v>2023</v>
      </c>
      <c r="D440" s="3">
        <f t="shared" si="13"/>
        <v>6</v>
      </c>
      <c r="E440" t="s">
        <v>875</v>
      </c>
      <c r="F440" t="s">
        <v>1023</v>
      </c>
      <c r="G440">
        <v>25</v>
      </c>
      <c r="H440" t="s">
        <v>4</v>
      </c>
      <c r="I440" s="3">
        <v>1</v>
      </c>
      <c r="J440" s="2">
        <v>50</v>
      </c>
      <c r="K440" s="2">
        <v>50</v>
      </c>
    </row>
    <row r="441" spans="1:11" x14ac:dyDescent="0.3">
      <c r="A441">
        <v>944</v>
      </c>
      <c r="B441" s="1">
        <v>45082</v>
      </c>
      <c r="C441" s="3">
        <f t="shared" si="12"/>
        <v>2023</v>
      </c>
      <c r="D441" s="3">
        <f t="shared" si="13"/>
        <v>6</v>
      </c>
      <c r="E441" t="s">
        <v>524</v>
      </c>
      <c r="F441" t="s">
        <v>1022</v>
      </c>
      <c r="G441">
        <v>44</v>
      </c>
      <c r="H441" t="s">
        <v>3</v>
      </c>
      <c r="I441" s="3">
        <v>2</v>
      </c>
      <c r="J441" s="2">
        <v>25</v>
      </c>
      <c r="K441" s="2">
        <v>50</v>
      </c>
    </row>
    <row r="442" spans="1:11" x14ac:dyDescent="0.3">
      <c r="A442">
        <v>481</v>
      </c>
      <c r="B442" s="1">
        <v>45083</v>
      </c>
      <c r="C442" s="3">
        <f t="shared" si="12"/>
        <v>2023</v>
      </c>
      <c r="D442" s="3">
        <f t="shared" si="13"/>
        <v>6</v>
      </c>
      <c r="E442" t="s">
        <v>159</v>
      </c>
      <c r="F442" t="s">
        <v>1023</v>
      </c>
      <c r="G442">
        <v>43</v>
      </c>
      <c r="H442" t="s">
        <v>4</v>
      </c>
      <c r="I442" s="3">
        <v>4</v>
      </c>
      <c r="J442" s="2">
        <v>300</v>
      </c>
      <c r="K442" s="2">
        <v>1200</v>
      </c>
    </row>
    <row r="443" spans="1:11" x14ac:dyDescent="0.3">
      <c r="A443">
        <v>867</v>
      </c>
      <c r="B443" s="1">
        <v>45083</v>
      </c>
      <c r="C443" s="3">
        <f t="shared" si="12"/>
        <v>2023</v>
      </c>
      <c r="D443" s="3">
        <f t="shared" si="13"/>
        <v>6</v>
      </c>
      <c r="E443" t="s">
        <v>790</v>
      </c>
      <c r="F443" t="s">
        <v>1022</v>
      </c>
      <c r="G443">
        <v>21</v>
      </c>
      <c r="H443" t="s">
        <v>4</v>
      </c>
      <c r="I443" s="3">
        <v>1</v>
      </c>
      <c r="J443" s="2">
        <v>500</v>
      </c>
      <c r="K443" s="2">
        <v>500</v>
      </c>
    </row>
    <row r="444" spans="1:11" x14ac:dyDescent="0.3">
      <c r="A444">
        <v>882</v>
      </c>
      <c r="B444" s="1">
        <v>45083</v>
      </c>
      <c r="C444" s="3">
        <f t="shared" si="12"/>
        <v>2023</v>
      </c>
      <c r="D444" s="3">
        <f t="shared" si="13"/>
        <v>6</v>
      </c>
      <c r="E444" t="s">
        <v>564</v>
      </c>
      <c r="F444" t="s">
        <v>1023</v>
      </c>
      <c r="G444">
        <v>64</v>
      </c>
      <c r="H444" t="s">
        <v>4</v>
      </c>
      <c r="I444" s="3">
        <v>2</v>
      </c>
      <c r="J444" s="2">
        <v>25</v>
      </c>
      <c r="K444" s="2">
        <v>50</v>
      </c>
    </row>
    <row r="445" spans="1:11" x14ac:dyDescent="0.3">
      <c r="A445">
        <v>961</v>
      </c>
      <c r="B445" s="1">
        <v>45083</v>
      </c>
      <c r="C445" s="3">
        <f t="shared" si="12"/>
        <v>2023</v>
      </c>
      <c r="D445" s="3">
        <f t="shared" si="13"/>
        <v>6</v>
      </c>
      <c r="E445" t="s">
        <v>95</v>
      </c>
      <c r="F445" t="s">
        <v>1022</v>
      </c>
      <c r="G445">
        <v>53</v>
      </c>
      <c r="H445" t="s">
        <v>2</v>
      </c>
      <c r="I445" s="3">
        <v>4</v>
      </c>
      <c r="J445" s="2">
        <v>50</v>
      </c>
      <c r="K445" s="2">
        <v>200</v>
      </c>
    </row>
    <row r="446" spans="1:11" x14ac:dyDescent="0.3">
      <c r="A446">
        <v>187</v>
      </c>
      <c r="B446" s="1">
        <v>45084</v>
      </c>
      <c r="C446" s="3">
        <f t="shared" si="12"/>
        <v>2023</v>
      </c>
      <c r="D446" s="3">
        <f t="shared" si="13"/>
        <v>6</v>
      </c>
      <c r="E446" t="s">
        <v>700</v>
      </c>
      <c r="F446" t="s">
        <v>1023</v>
      </c>
      <c r="G446">
        <v>64</v>
      </c>
      <c r="H446" t="s">
        <v>3</v>
      </c>
      <c r="I446" s="3">
        <v>2</v>
      </c>
      <c r="J446" s="2">
        <v>50</v>
      </c>
      <c r="K446" s="2">
        <v>100</v>
      </c>
    </row>
    <row r="447" spans="1:11" x14ac:dyDescent="0.3">
      <c r="A447">
        <v>446</v>
      </c>
      <c r="B447" s="1">
        <v>45084</v>
      </c>
      <c r="C447" s="3">
        <f t="shared" si="12"/>
        <v>2023</v>
      </c>
      <c r="D447" s="3">
        <f t="shared" si="13"/>
        <v>6</v>
      </c>
      <c r="E447" t="s">
        <v>890</v>
      </c>
      <c r="F447" t="s">
        <v>1022</v>
      </c>
      <c r="G447">
        <v>21</v>
      </c>
      <c r="H447" t="s">
        <v>4</v>
      </c>
      <c r="I447" s="3">
        <v>1</v>
      </c>
      <c r="J447" s="2">
        <v>50</v>
      </c>
      <c r="K447" s="2">
        <v>50</v>
      </c>
    </row>
    <row r="448" spans="1:11" x14ac:dyDescent="0.3">
      <c r="A448">
        <v>539</v>
      </c>
      <c r="B448" s="1">
        <v>45085</v>
      </c>
      <c r="C448" s="3">
        <f t="shared" si="12"/>
        <v>2023</v>
      </c>
      <c r="D448" s="3">
        <f t="shared" si="13"/>
        <v>6</v>
      </c>
      <c r="E448" t="s">
        <v>895</v>
      </c>
      <c r="F448" t="s">
        <v>1022</v>
      </c>
      <c r="G448">
        <v>25</v>
      </c>
      <c r="H448" t="s">
        <v>2</v>
      </c>
      <c r="I448" s="3">
        <v>1</v>
      </c>
      <c r="J448" s="2">
        <v>500</v>
      </c>
      <c r="K448" s="2">
        <v>500</v>
      </c>
    </row>
    <row r="449" spans="1:11" x14ac:dyDescent="0.3">
      <c r="A449">
        <v>587</v>
      </c>
      <c r="B449" s="1">
        <v>45085</v>
      </c>
      <c r="C449" s="3">
        <f t="shared" si="12"/>
        <v>2023</v>
      </c>
      <c r="D449" s="3">
        <f t="shared" si="13"/>
        <v>6</v>
      </c>
      <c r="E449" t="s">
        <v>160</v>
      </c>
      <c r="F449" t="s">
        <v>1023</v>
      </c>
      <c r="G449">
        <v>40</v>
      </c>
      <c r="H449" t="s">
        <v>2</v>
      </c>
      <c r="I449" s="3">
        <v>4</v>
      </c>
      <c r="J449" s="2">
        <v>300</v>
      </c>
      <c r="K449" s="2">
        <v>1200</v>
      </c>
    </row>
    <row r="450" spans="1:11" x14ac:dyDescent="0.3">
      <c r="A450">
        <v>212</v>
      </c>
      <c r="B450" s="1">
        <v>45086</v>
      </c>
      <c r="C450" s="3">
        <f t="shared" ref="C450:C513" si="14">YEAR(B450)</f>
        <v>2023</v>
      </c>
      <c r="D450" s="3">
        <f t="shared" ref="D450:D513" si="15">MONTH(B450)</f>
        <v>6</v>
      </c>
      <c r="E450" t="s">
        <v>452</v>
      </c>
      <c r="F450" t="s">
        <v>1022</v>
      </c>
      <c r="G450">
        <v>21</v>
      </c>
      <c r="H450" t="s">
        <v>3</v>
      </c>
      <c r="I450" s="3">
        <v>3</v>
      </c>
      <c r="J450" s="2">
        <v>500</v>
      </c>
      <c r="K450" s="2">
        <v>1500</v>
      </c>
    </row>
    <row r="451" spans="1:11" x14ac:dyDescent="0.3">
      <c r="A451">
        <v>765</v>
      </c>
      <c r="B451" s="1">
        <v>45086</v>
      </c>
      <c r="C451" s="3">
        <f t="shared" si="14"/>
        <v>2023</v>
      </c>
      <c r="D451" s="3">
        <f t="shared" si="15"/>
        <v>6</v>
      </c>
      <c r="E451" t="s">
        <v>74</v>
      </c>
      <c r="F451" t="s">
        <v>1022</v>
      </c>
      <c r="G451">
        <v>43</v>
      </c>
      <c r="H451" t="s">
        <v>3</v>
      </c>
      <c r="I451" s="3">
        <v>4</v>
      </c>
      <c r="J451" s="2">
        <v>50</v>
      </c>
      <c r="K451" s="2">
        <v>200</v>
      </c>
    </row>
    <row r="452" spans="1:11" x14ac:dyDescent="0.3">
      <c r="A452">
        <v>769</v>
      </c>
      <c r="B452" s="1">
        <v>45086</v>
      </c>
      <c r="C452" s="3">
        <f t="shared" si="14"/>
        <v>2023</v>
      </c>
      <c r="D452" s="3">
        <f t="shared" si="15"/>
        <v>6</v>
      </c>
      <c r="E452" t="s">
        <v>76</v>
      </c>
      <c r="F452" t="s">
        <v>1023</v>
      </c>
      <c r="G452">
        <v>31</v>
      </c>
      <c r="H452" t="s">
        <v>4</v>
      </c>
      <c r="I452" s="3">
        <v>4</v>
      </c>
      <c r="J452" s="2">
        <v>30</v>
      </c>
      <c r="K452" s="2">
        <v>120</v>
      </c>
    </row>
    <row r="453" spans="1:11" x14ac:dyDescent="0.3">
      <c r="A453">
        <v>321</v>
      </c>
      <c r="B453" s="1">
        <v>45087</v>
      </c>
      <c r="C453" s="3">
        <f t="shared" si="14"/>
        <v>2023</v>
      </c>
      <c r="D453" s="3">
        <f t="shared" si="15"/>
        <v>6</v>
      </c>
      <c r="E453" t="s">
        <v>677</v>
      </c>
      <c r="F453" t="s">
        <v>1023</v>
      </c>
      <c r="G453">
        <v>26</v>
      </c>
      <c r="H453" t="s">
        <v>4</v>
      </c>
      <c r="I453" s="3">
        <v>2</v>
      </c>
      <c r="J453" s="2">
        <v>25</v>
      </c>
      <c r="K453" s="2">
        <v>50</v>
      </c>
    </row>
    <row r="454" spans="1:11" x14ac:dyDescent="0.3">
      <c r="A454">
        <v>356</v>
      </c>
      <c r="B454" s="1">
        <v>45087</v>
      </c>
      <c r="C454" s="3">
        <f t="shared" si="14"/>
        <v>2023</v>
      </c>
      <c r="D454" s="3">
        <f t="shared" si="15"/>
        <v>6</v>
      </c>
      <c r="E454" t="s">
        <v>437</v>
      </c>
      <c r="F454" t="s">
        <v>1022</v>
      </c>
      <c r="G454">
        <v>50</v>
      </c>
      <c r="H454" t="s">
        <v>4</v>
      </c>
      <c r="I454" s="3">
        <v>3</v>
      </c>
      <c r="J454" s="2">
        <v>500</v>
      </c>
      <c r="K454" s="2">
        <v>1500</v>
      </c>
    </row>
    <row r="455" spans="1:11" x14ac:dyDescent="0.3">
      <c r="A455">
        <v>510</v>
      </c>
      <c r="B455" s="1">
        <v>45087</v>
      </c>
      <c r="C455" s="3">
        <f t="shared" si="14"/>
        <v>2023</v>
      </c>
      <c r="D455" s="3">
        <f t="shared" si="15"/>
        <v>6</v>
      </c>
      <c r="E455" t="s">
        <v>177</v>
      </c>
      <c r="F455" t="s">
        <v>1023</v>
      </c>
      <c r="G455">
        <v>39</v>
      </c>
      <c r="H455" t="s">
        <v>2</v>
      </c>
      <c r="I455" s="3">
        <v>4</v>
      </c>
      <c r="J455" s="2">
        <v>50</v>
      </c>
      <c r="K455" s="2">
        <v>200</v>
      </c>
    </row>
    <row r="456" spans="1:11" x14ac:dyDescent="0.3">
      <c r="A456">
        <v>534</v>
      </c>
      <c r="B456" s="1">
        <v>45087</v>
      </c>
      <c r="C456" s="3">
        <f t="shared" si="14"/>
        <v>2023</v>
      </c>
      <c r="D456" s="3">
        <f t="shared" si="15"/>
        <v>6</v>
      </c>
      <c r="E456" t="s">
        <v>622</v>
      </c>
      <c r="F456" t="s">
        <v>1022</v>
      </c>
      <c r="G456">
        <v>45</v>
      </c>
      <c r="H456" t="s">
        <v>3</v>
      </c>
      <c r="I456" s="3">
        <v>2</v>
      </c>
      <c r="J456" s="2">
        <v>500</v>
      </c>
      <c r="K456" s="2">
        <v>1000</v>
      </c>
    </row>
    <row r="457" spans="1:11" x14ac:dyDescent="0.3">
      <c r="A457">
        <v>104</v>
      </c>
      <c r="B457" s="1">
        <v>45088</v>
      </c>
      <c r="C457" s="3">
        <f t="shared" si="14"/>
        <v>2023</v>
      </c>
      <c r="D457" s="3">
        <f t="shared" si="15"/>
        <v>6</v>
      </c>
      <c r="E457" t="s">
        <v>744</v>
      </c>
      <c r="F457" t="s">
        <v>1023</v>
      </c>
      <c r="G457">
        <v>34</v>
      </c>
      <c r="H457" t="s">
        <v>2</v>
      </c>
      <c r="I457" s="3">
        <v>2</v>
      </c>
      <c r="J457" s="2">
        <v>500</v>
      </c>
      <c r="K457" s="2">
        <v>1000</v>
      </c>
    </row>
    <row r="458" spans="1:11" x14ac:dyDescent="0.3">
      <c r="A458">
        <v>110</v>
      </c>
      <c r="B458" s="1">
        <v>45088</v>
      </c>
      <c r="C458" s="3">
        <f t="shared" si="14"/>
        <v>2023</v>
      </c>
      <c r="D458" s="3">
        <f t="shared" si="15"/>
        <v>6</v>
      </c>
      <c r="E458" t="s">
        <v>449</v>
      </c>
      <c r="F458" t="s">
        <v>1022</v>
      </c>
      <c r="G458">
        <v>27</v>
      </c>
      <c r="H458" t="s">
        <v>3</v>
      </c>
      <c r="I458" s="3">
        <v>3</v>
      </c>
      <c r="J458" s="2">
        <v>300</v>
      </c>
      <c r="K458" s="2">
        <v>900</v>
      </c>
    </row>
    <row r="459" spans="1:11" x14ac:dyDescent="0.3">
      <c r="A459">
        <v>352</v>
      </c>
      <c r="B459" s="1">
        <v>45088</v>
      </c>
      <c r="C459" s="3">
        <f t="shared" si="14"/>
        <v>2023</v>
      </c>
      <c r="D459" s="3">
        <f t="shared" si="15"/>
        <v>6</v>
      </c>
      <c r="E459" t="s">
        <v>661</v>
      </c>
      <c r="F459" t="s">
        <v>1022</v>
      </c>
      <c r="G459">
        <v>57</v>
      </c>
      <c r="H459" t="s">
        <v>4</v>
      </c>
      <c r="I459" s="3">
        <v>2</v>
      </c>
      <c r="J459" s="2">
        <v>500</v>
      </c>
      <c r="K459" s="2">
        <v>1000</v>
      </c>
    </row>
    <row r="460" spans="1:11" x14ac:dyDescent="0.3">
      <c r="A460">
        <v>365</v>
      </c>
      <c r="B460" s="1">
        <v>45088</v>
      </c>
      <c r="C460" s="3">
        <f t="shared" si="14"/>
        <v>2023</v>
      </c>
      <c r="D460" s="3">
        <f t="shared" si="15"/>
        <v>6</v>
      </c>
      <c r="E460" t="s">
        <v>908</v>
      </c>
      <c r="F460" t="s">
        <v>1022</v>
      </c>
      <c r="G460">
        <v>31</v>
      </c>
      <c r="H460" t="s">
        <v>3</v>
      </c>
      <c r="I460" s="3">
        <v>1</v>
      </c>
      <c r="J460" s="2">
        <v>300</v>
      </c>
      <c r="K460" s="2">
        <v>300</v>
      </c>
    </row>
    <row r="461" spans="1:11" x14ac:dyDescent="0.3">
      <c r="A461">
        <v>887</v>
      </c>
      <c r="B461" s="1">
        <v>45088</v>
      </c>
      <c r="C461" s="3">
        <f t="shared" si="14"/>
        <v>2023</v>
      </c>
      <c r="D461" s="3">
        <f t="shared" si="15"/>
        <v>6</v>
      </c>
      <c r="E461" t="s">
        <v>79</v>
      </c>
      <c r="F461" t="s">
        <v>1022</v>
      </c>
      <c r="G461">
        <v>59</v>
      </c>
      <c r="H461" t="s">
        <v>3</v>
      </c>
      <c r="I461" s="3">
        <v>4</v>
      </c>
      <c r="J461" s="2">
        <v>25</v>
      </c>
      <c r="K461" s="2">
        <v>100</v>
      </c>
    </row>
    <row r="462" spans="1:11" x14ac:dyDescent="0.3">
      <c r="A462">
        <v>629</v>
      </c>
      <c r="B462" s="1">
        <v>45089</v>
      </c>
      <c r="C462" s="3">
        <f t="shared" si="14"/>
        <v>2023</v>
      </c>
      <c r="D462" s="3">
        <f t="shared" si="15"/>
        <v>6</v>
      </c>
      <c r="E462" t="s">
        <v>653</v>
      </c>
      <c r="F462" t="s">
        <v>1022</v>
      </c>
      <c r="G462">
        <v>62</v>
      </c>
      <c r="H462" t="s">
        <v>4</v>
      </c>
      <c r="I462" s="3">
        <v>2</v>
      </c>
      <c r="J462" s="2">
        <v>25</v>
      </c>
      <c r="K462" s="2">
        <v>50</v>
      </c>
    </row>
    <row r="463" spans="1:11" x14ac:dyDescent="0.3">
      <c r="A463">
        <v>655</v>
      </c>
      <c r="B463" s="1">
        <v>45090</v>
      </c>
      <c r="C463" s="3">
        <f t="shared" si="14"/>
        <v>2023</v>
      </c>
      <c r="D463" s="3">
        <f t="shared" si="15"/>
        <v>6</v>
      </c>
      <c r="E463" t="s">
        <v>17</v>
      </c>
      <c r="F463" t="s">
        <v>1023</v>
      </c>
      <c r="G463">
        <v>55</v>
      </c>
      <c r="H463" t="s">
        <v>3</v>
      </c>
      <c r="I463" s="3">
        <v>1</v>
      </c>
      <c r="J463" s="2">
        <v>500</v>
      </c>
      <c r="K463" s="2">
        <v>500</v>
      </c>
    </row>
    <row r="464" spans="1:11" x14ac:dyDescent="0.3">
      <c r="A464">
        <v>567</v>
      </c>
      <c r="B464" s="1">
        <v>45091</v>
      </c>
      <c r="C464" s="3">
        <f t="shared" si="14"/>
        <v>2023</v>
      </c>
      <c r="D464" s="3">
        <f t="shared" si="15"/>
        <v>6</v>
      </c>
      <c r="E464" t="s">
        <v>369</v>
      </c>
      <c r="F464" t="s">
        <v>1023</v>
      </c>
      <c r="G464">
        <v>25</v>
      </c>
      <c r="H464" t="s">
        <v>3</v>
      </c>
      <c r="I464" s="3">
        <v>3</v>
      </c>
      <c r="J464" s="2">
        <v>300</v>
      </c>
      <c r="K464" s="2">
        <v>900</v>
      </c>
    </row>
    <row r="465" spans="1:11" x14ac:dyDescent="0.3">
      <c r="A465">
        <v>182</v>
      </c>
      <c r="B465" s="1">
        <v>45092</v>
      </c>
      <c r="C465" s="3">
        <f t="shared" si="14"/>
        <v>2023</v>
      </c>
      <c r="D465" s="3">
        <f t="shared" si="15"/>
        <v>6</v>
      </c>
      <c r="E465" t="s">
        <v>217</v>
      </c>
      <c r="F465" t="s">
        <v>1022</v>
      </c>
      <c r="G465">
        <v>62</v>
      </c>
      <c r="H465" t="s">
        <v>2</v>
      </c>
      <c r="I465" s="3">
        <v>4</v>
      </c>
      <c r="J465" s="2">
        <v>30</v>
      </c>
      <c r="K465" s="2">
        <v>120</v>
      </c>
    </row>
    <row r="466" spans="1:11" x14ac:dyDescent="0.3">
      <c r="A466">
        <v>819</v>
      </c>
      <c r="B466" s="1">
        <v>45092</v>
      </c>
      <c r="C466" s="3">
        <f t="shared" si="14"/>
        <v>2023</v>
      </c>
      <c r="D466" s="3">
        <f t="shared" si="15"/>
        <v>6</v>
      </c>
      <c r="E466" t="s">
        <v>535</v>
      </c>
      <c r="F466" t="s">
        <v>1023</v>
      </c>
      <c r="G466">
        <v>35</v>
      </c>
      <c r="H466" t="s">
        <v>2</v>
      </c>
      <c r="I466" s="3">
        <v>2</v>
      </c>
      <c r="J466" s="2">
        <v>50</v>
      </c>
      <c r="K466" s="2">
        <v>100</v>
      </c>
    </row>
    <row r="467" spans="1:11" x14ac:dyDescent="0.3">
      <c r="A467">
        <v>100</v>
      </c>
      <c r="B467" s="1">
        <v>45093</v>
      </c>
      <c r="C467" s="3">
        <f t="shared" si="14"/>
        <v>2023</v>
      </c>
      <c r="D467" s="3">
        <f t="shared" si="15"/>
        <v>6</v>
      </c>
      <c r="E467" t="s">
        <v>946</v>
      </c>
      <c r="F467" t="s">
        <v>1022</v>
      </c>
      <c r="G467">
        <v>41</v>
      </c>
      <c r="H467" t="s">
        <v>4</v>
      </c>
      <c r="I467" s="3">
        <v>1</v>
      </c>
      <c r="J467" s="2">
        <v>30</v>
      </c>
      <c r="K467" s="2">
        <v>30</v>
      </c>
    </row>
    <row r="468" spans="1:11" x14ac:dyDescent="0.3">
      <c r="A468">
        <v>833</v>
      </c>
      <c r="B468" s="1">
        <v>45093</v>
      </c>
      <c r="C468" s="3">
        <f t="shared" si="14"/>
        <v>2023</v>
      </c>
      <c r="D468" s="3">
        <f t="shared" si="15"/>
        <v>6</v>
      </c>
      <c r="E468" t="s">
        <v>103</v>
      </c>
      <c r="F468" t="s">
        <v>1022</v>
      </c>
      <c r="G468">
        <v>42</v>
      </c>
      <c r="H468" t="s">
        <v>2</v>
      </c>
      <c r="I468" s="3">
        <v>4</v>
      </c>
      <c r="J468" s="2">
        <v>50</v>
      </c>
      <c r="K468" s="2">
        <v>200</v>
      </c>
    </row>
    <row r="469" spans="1:11" x14ac:dyDescent="0.3">
      <c r="A469">
        <v>542</v>
      </c>
      <c r="B469" s="1">
        <v>45094</v>
      </c>
      <c r="C469" s="3">
        <f t="shared" si="14"/>
        <v>2023</v>
      </c>
      <c r="D469" s="3">
        <f t="shared" si="15"/>
        <v>6</v>
      </c>
      <c r="E469" t="s">
        <v>874</v>
      </c>
      <c r="F469" t="s">
        <v>1023</v>
      </c>
      <c r="G469">
        <v>20</v>
      </c>
      <c r="H469" t="s">
        <v>2</v>
      </c>
      <c r="I469" s="3">
        <v>1</v>
      </c>
      <c r="J469" s="2">
        <v>50</v>
      </c>
      <c r="K469" s="2">
        <v>50</v>
      </c>
    </row>
    <row r="470" spans="1:11" x14ac:dyDescent="0.3">
      <c r="A470">
        <v>723</v>
      </c>
      <c r="B470" s="1">
        <v>45094</v>
      </c>
      <c r="C470" s="3">
        <f t="shared" si="14"/>
        <v>2023</v>
      </c>
      <c r="D470" s="3">
        <f t="shared" si="15"/>
        <v>6</v>
      </c>
      <c r="E470" t="s">
        <v>48</v>
      </c>
      <c r="F470" t="s">
        <v>1023</v>
      </c>
      <c r="G470">
        <v>54</v>
      </c>
      <c r="H470" t="s">
        <v>2</v>
      </c>
      <c r="I470" s="3">
        <v>4</v>
      </c>
      <c r="J470" s="2">
        <v>50</v>
      </c>
      <c r="K470" s="2">
        <v>200</v>
      </c>
    </row>
    <row r="471" spans="1:11" x14ac:dyDescent="0.3">
      <c r="A471">
        <v>726</v>
      </c>
      <c r="B471" s="1">
        <v>45094</v>
      </c>
      <c r="C471" s="3">
        <f t="shared" si="14"/>
        <v>2023</v>
      </c>
      <c r="D471" s="3">
        <f t="shared" si="15"/>
        <v>6</v>
      </c>
      <c r="E471" t="s">
        <v>50</v>
      </c>
      <c r="F471" t="s">
        <v>1022</v>
      </c>
      <c r="G471">
        <v>47</v>
      </c>
      <c r="H471" t="s">
        <v>3</v>
      </c>
      <c r="I471" s="3">
        <v>4</v>
      </c>
      <c r="J471" s="2">
        <v>300</v>
      </c>
      <c r="K471" s="2">
        <v>1200</v>
      </c>
    </row>
    <row r="472" spans="1:11" x14ac:dyDescent="0.3">
      <c r="A472">
        <v>488</v>
      </c>
      <c r="B472" s="1">
        <v>45095</v>
      </c>
      <c r="C472" s="3">
        <f t="shared" si="14"/>
        <v>2023</v>
      </c>
      <c r="D472" s="3">
        <f t="shared" si="15"/>
        <v>6</v>
      </c>
      <c r="E472" t="s">
        <v>402</v>
      </c>
      <c r="F472" t="s">
        <v>1023</v>
      </c>
      <c r="G472">
        <v>51</v>
      </c>
      <c r="H472" t="s">
        <v>4</v>
      </c>
      <c r="I472" s="3">
        <v>3</v>
      </c>
      <c r="J472" s="2">
        <v>300</v>
      </c>
      <c r="K472" s="2">
        <v>900</v>
      </c>
    </row>
    <row r="473" spans="1:11" x14ac:dyDescent="0.3">
      <c r="A473">
        <v>239</v>
      </c>
      <c r="B473" s="1">
        <v>45096</v>
      </c>
      <c r="C473" s="3">
        <f t="shared" si="14"/>
        <v>2023</v>
      </c>
      <c r="D473" s="3">
        <f t="shared" si="15"/>
        <v>6</v>
      </c>
      <c r="E473" t="s">
        <v>454</v>
      </c>
      <c r="F473" t="s">
        <v>1022</v>
      </c>
      <c r="G473">
        <v>38</v>
      </c>
      <c r="H473" t="s">
        <v>4</v>
      </c>
      <c r="I473" s="3">
        <v>3</v>
      </c>
      <c r="J473" s="2">
        <v>500</v>
      </c>
      <c r="K473" s="2">
        <v>1500</v>
      </c>
    </row>
    <row r="474" spans="1:11" x14ac:dyDescent="0.3">
      <c r="A474">
        <v>498</v>
      </c>
      <c r="B474" s="1">
        <v>45096</v>
      </c>
      <c r="C474" s="3">
        <f t="shared" si="14"/>
        <v>2023</v>
      </c>
      <c r="D474" s="3">
        <f t="shared" si="15"/>
        <v>6</v>
      </c>
      <c r="E474" t="s">
        <v>173</v>
      </c>
      <c r="F474" t="s">
        <v>1023</v>
      </c>
      <c r="G474">
        <v>50</v>
      </c>
      <c r="H474" t="s">
        <v>3</v>
      </c>
      <c r="I474" s="3">
        <v>4</v>
      </c>
      <c r="J474" s="2">
        <v>25</v>
      </c>
      <c r="K474" s="2">
        <v>100</v>
      </c>
    </row>
    <row r="475" spans="1:11" x14ac:dyDescent="0.3">
      <c r="A475">
        <v>532</v>
      </c>
      <c r="B475" s="1">
        <v>45096</v>
      </c>
      <c r="C475" s="3">
        <f t="shared" si="14"/>
        <v>2023</v>
      </c>
      <c r="D475" s="3">
        <f t="shared" si="15"/>
        <v>6</v>
      </c>
      <c r="E475" t="s">
        <v>124</v>
      </c>
      <c r="F475" t="s">
        <v>1023</v>
      </c>
      <c r="G475">
        <v>64</v>
      </c>
      <c r="H475" t="s">
        <v>3</v>
      </c>
      <c r="I475" s="3">
        <v>4</v>
      </c>
      <c r="J475" s="2">
        <v>30</v>
      </c>
      <c r="K475" s="2">
        <v>120</v>
      </c>
    </row>
    <row r="476" spans="1:11" x14ac:dyDescent="0.3">
      <c r="A476">
        <v>669</v>
      </c>
      <c r="B476" s="1">
        <v>45096</v>
      </c>
      <c r="C476" s="3">
        <f t="shared" si="14"/>
        <v>2023</v>
      </c>
      <c r="D476" s="3">
        <f t="shared" si="15"/>
        <v>6</v>
      </c>
      <c r="E476" t="s">
        <v>25</v>
      </c>
      <c r="F476" t="s">
        <v>1022</v>
      </c>
      <c r="G476">
        <v>24</v>
      </c>
      <c r="H476" t="s">
        <v>2</v>
      </c>
      <c r="I476" s="3">
        <v>4</v>
      </c>
      <c r="J476" s="2">
        <v>300</v>
      </c>
      <c r="K476" s="2">
        <v>1200</v>
      </c>
    </row>
    <row r="477" spans="1:11" x14ac:dyDescent="0.3">
      <c r="A477">
        <v>877</v>
      </c>
      <c r="B477" s="1">
        <v>45096</v>
      </c>
      <c r="C477" s="3">
        <f t="shared" si="14"/>
        <v>2023</v>
      </c>
      <c r="D477" s="3">
        <f t="shared" si="15"/>
        <v>6</v>
      </c>
      <c r="E477" t="s">
        <v>838</v>
      </c>
      <c r="F477" t="s">
        <v>1023</v>
      </c>
      <c r="G477">
        <v>58</v>
      </c>
      <c r="H477" t="s">
        <v>3</v>
      </c>
      <c r="I477" s="3">
        <v>1</v>
      </c>
      <c r="J477" s="2">
        <v>25</v>
      </c>
      <c r="K477" s="2">
        <v>25</v>
      </c>
    </row>
    <row r="478" spans="1:11" x14ac:dyDescent="0.3">
      <c r="A478">
        <v>422</v>
      </c>
      <c r="B478" s="1">
        <v>45097</v>
      </c>
      <c r="C478" s="3">
        <f t="shared" si="14"/>
        <v>2023</v>
      </c>
      <c r="D478" s="3">
        <f t="shared" si="15"/>
        <v>6</v>
      </c>
      <c r="E478" t="s">
        <v>431</v>
      </c>
      <c r="F478" t="s">
        <v>1023</v>
      </c>
      <c r="G478">
        <v>28</v>
      </c>
      <c r="H478" t="s">
        <v>3</v>
      </c>
      <c r="I478" s="3">
        <v>3</v>
      </c>
      <c r="J478" s="2">
        <v>30</v>
      </c>
      <c r="K478" s="2">
        <v>90</v>
      </c>
    </row>
    <row r="479" spans="1:11" x14ac:dyDescent="0.3">
      <c r="A479">
        <v>466</v>
      </c>
      <c r="B479" s="1">
        <v>45097</v>
      </c>
      <c r="C479" s="3">
        <f t="shared" si="14"/>
        <v>2023</v>
      </c>
      <c r="D479" s="3">
        <f t="shared" si="15"/>
        <v>6</v>
      </c>
      <c r="E479" t="s">
        <v>149</v>
      </c>
      <c r="F479" t="s">
        <v>1022</v>
      </c>
      <c r="G479">
        <v>63</v>
      </c>
      <c r="H479" t="s">
        <v>4</v>
      </c>
      <c r="I479" s="3">
        <v>4</v>
      </c>
      <c r="J479" s="2">
        <v>25</v>
      </c>
      <c r="K479" s="2">
        <v>100</v>
      </c>
    </row>
    <row r="480" spans="1:11" x14ac:dyDescent="0.3">
      <c r="A480">
        <v>583</v>
      </c>
      <c r="B480" s="1">
        <v>45098</v>
      </c>
      <c r="C480" s="3">
        <f t="shared" si="14"/>
        <v>2023</v>
      </c>
      <c r="D480" s="3">
        <f t="shared" si="15"/>
        <v>6</v>
      </c>
      <c r="E480" t="s">
        <v>158</v>
      </c>
      <c r="F480" t="s">
        <v>1023</v>
      </c>
      <c r="G480">
        <v>24</v>
      </c>
      <c r="H480" t="s">
        <v>4</v>
      </c>
      <c r="I480" s="3">
        <v>4</v>
      </c>
      <c r="J480" s="2">
        <v>25</v>
      </c>
      <c r="K480" s="2">
        <v>100</v>
      </c>
    </row>
    <row r="481" spans="1:11" x14ac:dyDescent="0.3">
      <c r="A481">
        <v>654</v>
      </c>
      <c r="B481" s="1">
        <v>45098</v>
      </c>
      <c r="C481" s="3">
        <f t="shared" si="14"/>
        <v>2023</v>
      </c>
      <c r="D481" s="3">
        <f t="shared" si="15"/>
        <v>6</v>
      </c>
      <c r="E481" t="s">
        <v>22</v>
      </c>
      <c r="F481" t="s">
        <v>1022</v>
      </c>
      <c r="G481">
        <v>42</v>
      </c>
      <c r="H481" t="s">
        <v>3</v>
      </c>
      <c r="I481" s="3">
        <v>3</v>
      </c>
      <c r="J481" s="2">
        <v>25</v>
      </c>
      <c r="K481" s="2">
        <v>75</v>
      </c>
    </row>
    <row r="482" spans="1:11" x14ac:dyDescent="0.3">
      <c r="A482">
        <v>40</v>
      </c>
      <c r="B482" s="1">
        <v>45099</v>
      </c>
      <c r="C482" s="3">
        <f t="shared" si="14"/>
        <v>2023</v>
      </c>
      <c r="D482" s="3">
        <f t="shared" si="15"/>
        <v>6</v>
      </c>
      <c r="E482" t="s">
        <v>973</v>
      </c>
      <c r="F482" t="s">
        <v>1022</v>
      </c>
      <c r="G482">
        <v>45</v>
      </c>
      <c r="H482" t="s">
        <v>2</v>
      </c>
      <c r="I482" s="3">
        <v>1</v>
      </c>
      <c r="J482" s="2">
        <v>50</v>
      </c>
      <c r="K482" s="2">
        <v>50</v>
      </c>
    </row>
    <row r="483" spans="1:11" x14ac:dyDescent="0.3">
      <c r="A483">
        <v>699</v>
      </c>
      <c r="B483" s="1">
        <v>45099</v>
      </c>
      <c r="C483" s="3">
        <f t="shared" si="14"/>
        <v>2023</v>
      </c>
      <c r="D483" s="3">
        <f t="shared" si="15"/>
        <v>6</v>
      </c>
      <c r="E483" t="s">
        <v>38</v>
      </c>
      <c r="F483" t="s">
        <v>1023</v>
      </c>
      <c r="G483">
        <v>37</v>
      </c>
      <c r="H483" t="s">
        <v>3</v>
      </c>
      <c r="I483" s="3">
        <v>4</v>
      </c>
      <c r="J483" s="2">
        <v>30</v>
      </c>
      <c r="K483" s="2">
        <v>120</v>
      </c>
    </row>
    <row r="484" spans="1:11" x14ac:dyDescent="0.3">
      <c r="A484">
        <v>727</v>
      </c>
      <c r="B484" s="1">
        <v>45099</v>
      </c>
      <c r="C484" s="3">
        <f t="shared" si="14"/>
        <v>2023</v>
      </c>
      <c r="D484" s="3">
        <f t="shared" si="15"/>
        <v>6</v>
      </c>
      <c r="E484" t="s">
        <v>331</v>
      </c>
      <c r="F484" t="s">
        <v>1022</v>
      </c>
      <c r="G484">
        <v>55</v>
      </c>
      <c r="H484" t="s">
        <v>2</v>
      </c>
      <c r="I484" s="3">
        <v>3</v>
      </c>
      <c r="J484" s="2">
        <v>300</v>
      </c>
      <c r="K484" s="2">
        <v>900</v>
      </c>
    </row>
    <row r="485" spans="1:11" x14ac:dyDescent="0.3">
      <c r="A485">
        <v>830</v>
      </c>
      <c r="B485" s="1">
        <v>45099</v>
      </c>
      <c r="C485" s="3">
        <f t="shared" si="14"/>
        <v>2023</v>
      </c>
      <c r="D485" s="3">
        <f t="shared" si="15"/>
        <v>6</v>
      </c>
      <c r="E485" t="s">
        <v>344</v>
      </c>
      <c r="F485" t="s">
        <v>1023</v>
      </c>
      <c r="G485">
        <v>64</v>
      </c>
      <c r="H485" t="s">
        <v>3</v>
      </c>
      <c r="I485" s="3">
        <v>3</v>
      </c>
      <c r="J485" s="2">
        <v>50</v>
      </c>
      <c r="K485" s="2">
        <v>150</v>
      </c>
    </row>
    <row r="486" spans="1:11" x14ac:dyDescent="0.3">
      <c r="A486">
        <v>224</v>
      </c>
      <c r="B486" s="1">
        <v>45100</v>
      </c>
      <c r="C486" s="3">
        <f t="shared" si="14"/>
        <v>2023</v>
      </c>
      <c r="D486" s="3">
        <f t="shared" si="15"/>
        <v>6</v>
      </c>
      <c r="E486" t="s">
        <v>977</v>
      </c>
      <c r="F486" t="s">
        <v>1023</v>
      </c>
      <c r="G486">
        <v>25</v>
      </c>
      <c r="H486" t="s">
        <v>3</v>
      </c>
      <c r="I486" s="3">
        <v>1</v>
      </c>
      <c r="J486" s="2">
        <v>50</v>
      </c>
      <c r="K486" s="2">
        <v>50</v>
      </c>
    </row>
    <row r="487" spans="1:11" x14ac:dyDescent="0.3">
      <c r="A487">
        <v>271</v>
      </c>
      <c r="B487" s="1">
        <v>45100</v>
      </c>
      <c r="C487" s="3">
        <f t="shared" si="14"/>
        <v>2023</v>
      </c>
      <c r="D487" s="3">
        <f t="shared" si="15"/>
        <v>6</v>
      </c>
      <c r="E487" t="s">
        <v>209</v>
      </c>
      <c r="F487" t="s">
        <v>1023</v>
      </c>
      <c r="G487">
        <v>62</v>
      </c>
      <c r="H487" t="s">
        <v>2</v>
      </c>
      <c r="I487" s="3">
        <v>4</v>
      </c>
      <c r="J487" s="2">
        <v>30</v>
      </c>
      <c r="K487" s="2">
        <v>120</v>
      </c>
    </row>
    <row r="488" spans="1:11" x14ac:dyDescent="0.3">
      <c r="A488">
        <v>36</v>
      </c>
      <c r="B488" s="1">
        <v>45101</v>
      </c>
      <c r="C488" s="3">
        <f t="shared" si="14"/>
        <v>2023</v>
      </c>
      <c r="D488" s="3">
        <f t="shared" si="15"/>
        <v>6</v>
      </c>
      <c r="E488" t="s">
        <v>471</v>
      </c>
      <c r="F488" t="s">
        <v>1022</v>
      </c>
      <c r="G488">
        <v>52</v>
      </c>
      <c r="H488" t="s">
        <v>2</v>
      </c>
      <c r="I488" s="3">
        <v>3</v>
      </c>
      <c r="J488" s="2">
        <v>300</v>
      </c>
      <c r="K488" s="2">
        <v>900</v>
      </c>
    </row>
    <row r="489" spans="1:11" x14ac:dyDescent="0.3">
      <c r="A489">
        <v>157</v>
      </c>
      <c r="B489" s="1">
        <v>45101</v>
      </c>
      <c r="C489" s="3">
        <f t="shared" si="14"/>
        <v>2023</v>
      </c>
      <c r="D489" s="3">
        <f t="shared" si="15"/>
        <v>6</v>
      </c>
      <c r="E489" t="s">
        <v>282</v>
      </c>
      <c r="F489" t="s">
        <v>1022</v>
      </c>
      <c r="G489">
        <v>62</v>
      </c>
      <c r="H489" t="s">
        <v>4</v>
      </c>
      <c r="I489" s="3">
        <v>4</v>
      </c>
      <c r="J489" s="2">
        <v>500</v>
      </c>
      <c r="K489" s="2">
        <v>2000</v>
      </c>
    </row>
    <row r="490" spans="1:11" x14ac:dyDescent="0.3">
      <c r="A490">
        <v>796</v>
      </c>
      <c r="B490" s="1">
        <v>45101</v>
      </c>
      <c r="C490" s="3">
        <f t="shared" si="14"/>
        <v>2023</v>
      </c>
      <c r="D490" s="3">
        <f t="shared" si="15"/>
        <v>6</v>
      </c>
      <c r="E490" t="s">
        <v>90</v>
      </c>
      <c r="F490" t="s">
        <v>1022</v>
      </c>
      <c r="G490">
        <v>43</v>
      </c>
      <c r="H490" t="s">
        <v>2</v>
      </c>
      <c r="I490" s="3">
        <v>4</v>
      </c>
      <c r="J490" s="2">
        <v>30</v>
      </c>
      <c r="K490" s="2">
        <v>120</v>
      </c>
    </row>
    <row r="491" spans="1:11" x14ac:dyDescent="0.3">
      <c r="A491">
        <v>839</v>
      </c>
      <c r="B491" s="1">
        <v>45101</v>
      </c>
      <c r="C491" s="3">
        <f t="shared" si="14"/>
        <v>2023</v>
      </c>
      <c r="D491" s="3">
        <f t="shared" si="15"/>
        <v>6</v>
      </c>
      <c r="E491" t="s">
        <v>32</v>
      </c>
      <c r="F491" t="s">
        <v>1023</v>
      </c>
      <c r="G491">
        <v>20</v>
      </c>
      <c r="H491" t="s">
        <v>4</v>
      </c>
      <c r="I491" s="3">
        <v>4</v>
      </c>
      <c r="J491" s="2">
        <v>300</v>
      </c>
      <c r="K491" s="2">
        <v>1200</v>
      </c>
    </row>
    <row r="492" spans="1:11" x14ac:dyDescent="0.3">
      <c r="A492">
        <v>927</v>
      </c>
      <c r="B492" s="1">
        <v>45101</v>
      </c>
      <c r="C492" s="3">
        <f t="shared" si="14"/>
        <v>2023</v>
      </c>
      <c r="D492" s="3">
        <f t="shared" si="15"/>
        <v>6</v>
      </c>
      <c r="E492" t="s">
        <v>85</v>
      </c>
      <c r="F492" t="s">
        <v>1022</v>
      </c>
      <c r="G492">
        <v>43</v>
      </c>
      <c r="H492" t="s">
        <v>4</v>
      </c>
      <c r="I492" s="3">
        <v>4</v>
      </c>
      <c r="J492" s="2">
        <v>500</v>
      </c>
      <c r="K492" s="2">
        <v>2000</v>
      </c>
    </row>
    <row r="493" spans="1:11" x14ac:dyDescent="0.3">
      <c r="A493">
        <v>407</v>
      </c>
      <c r="B493" s="1">
        <v>45102</v>
      </c>
      <c r="C493" s="3">
        <f t="shared" si="14"/>
        <v>2023</v>
      </c>
      <c r="D493" s="3">
        <f t="shared" si="15"/>
        <v>6</v>
      </c>
      <c r="E493" t="s">
        <v>409</v>
      </c>
      <c r="F493" t="s">
        <v>1023</v>
      </c>
      <c r="G493">
        <v>46</v>
      </c>
      <c r="H493" t="s">
        <v>4</v>
      </c>
      <c r="I493" s="3">
        <v>3</v>
      </c>
      <c r="J493" s="2">
        <v>300</v>
      </c>
      <c r="K493" s="2">
        <v>900</v>
      </c>
    </row>
    <row r="494" spans="1:11" x14ac:dyDescent="0.3">
      <c r="A494">
        <v>46</v>
      </c>
      <c r="B494" s="1">
        <v>45103</v>
      </c>
      <c r="C494" s="3">
        <f t="shared" si="14"/>
        <v>2023</v>
      </c>
      <c r="D494" s="3">
        <f t="shared" si="15"/>
        <v>6</v>
      </c>
      <c r="E494" t="s">
        <v>216</v>
      </c>
      <c r="F494" t="s">
        <v>1023</v>
      </c>
      <c r="G494">
        <v>20</v>
      </c>
      <c r="H494" t="s">
        <v>4</v>
      </c>
      <c r="I494" s="3">
        <v>4</v>
      </c>
      <c r="J494" s="2">
        <v>300</v>
      </c>
      <c r="K494" s="2">
        <v>1200</v>
      </c>
    </row>
    <row r="495" spans="1:11" x14ac:dyDescent="0.3">
      <c r="A495">
        <v>509</v>
      </c>
      <c r="B495" s="1">
        <v>45103</v>
      </c>
      <c r="C495" s="3">
        <f t="shared" si="14"/>
        <v>2023</v>
      </c>
      <c r="D495" s="3">
        <f t="shared" si="15"/>
        <v>6</v>
      </c>
      <c r="E495" t="s">
        <v>418</v>
      </c>
      <c r="F495" t="s">
        <v>1023</v>
      </c>
      <c r="G495">
        <v>37</v>
      </c>
      <c r="H495" t="s">
        <v>4</v>
      </c>
      <c r="I495" s="3">
        <v>3</v>
      </c>
      <c r="J495" s="2">
        <v>300</v>
      </c>
      <c r="K495" s="2">
        <v>900</v>
      </c>
    </row>
    <row r="496" spans="1:11" x14ac:dyDescent="0.3">
      <c r="A496">
        <v>874</v>
      </c>
      <c r="B496" s="1">
        <v>45103</v>
      </c>
      <c r="C496" s="3">
        <f t="shared" si="14"/>
        <v>2023</v>
      </c>
      <c r="D496" s="3">
        <f t="shared" si="15"/>
        <v>6</v>
      </c>
      <c r="E496" t="s">
        <v>857</v>
      </c>
      <c r="F496" t="s">
        <v>1022</v>
      </c>
      <c r="G496">
        <v>60</v>
      </c>
      <c r="H496" t="s">
        <v>2</v>
      </c>
      <c r="I496" s="3">
        <v>1</v>
      </c>
      <c r="J496" s="2">
        <v>30</v>
      </c>
      <c r="K496" s="2">
        <v>30</v>
      </c>
    </row>
    <row r="497" spans="1:11" x14ac:dyDescent="0.3">
      <c r="A497">
        <v>788</v>
      </c>
      <c r="B497" s="1">
        <v>45104</v>
      </c>
      <c r="C497" s="3">
        <f t="shared" si="14"/>
        <v>2023</v>
      </c>
      <c r="D497" s="3">
        <f t="shared" si="15"/>
        <v>6</v>
      </c>
      <c r="E497" t="s">
        <v>312</v>
      </c>
      <c r="F497" t="s">
        <v>1023</v>
      </c>
      <c r="G497">
        <v>52</v>
      </c>
      <c r="H497" t="s">
        <v>2</v>
      </c>
      <c r="I497" s="3">
        <v>3</v>
      </c>
      <c r="J497" s="2">
        <v>300</v>
      </c>
      <c r="K497" s="2">
        <v>900</v>
      </c>
    </row>
    <row r="498" spans="1:11" x14ac:dyDescent="0.3">
      <c r="A498">
        <v>378</v>
      </c>
      <c r="B498" s="1">
        <v>45105</v>
      </c>
      <c r="C498" s="3">
        <f t="shared" si="14"/>
        <v>2023</v>
      </c>
      <c r="D498" s="3">
        <f t="shared" si="15"/>
        <v>6</v>
      </c>
      <c r="E498" t="s">
        <v>860</v>
      </c>
      <c r="F498" t="s">
        <v>1022</v>
      </c>
      <c r="G498">
        <v>50</v>
      </c>
      <c r="H498" t="s">
        <v>2</v>
      </c>
      <c r="I498" s="3">
        <v>1</v>
      </c>
      <c r="J498" s="2">
        <v>300</v>
      </c>
      <c r="K498" s="2">
        <v>300</v>
      </c>
    </row>
    <row r="499" spans="1:11" x14ac:dyDescent="0.3">
      <c r="A499">
        <v>480</v>
      </c>
      <c r="B499" s="1">
        <v>45106</v>
      </c>
      <c r="C499" s="3">
        <f t="shared" si="14"/>
        <v>2023</v>
      </c>
      <c r="D499" s="3">
        <f t="shared" si="15"/>
        <v>6</v>
      </c>
      <c r="E499" t="s">
        <v>157</v>
      </c>
      <c r="F499" t="s">
        <v>1023</v>
      </c>
      <c r="G499">
        <v>42</v>
      </c>
      <c r="H499" t="s">
        <v>2</v>
      </c>
      <c r="I499" s="3">
        <v>4</v>
      </c>
      <c r="J499" s="2">
        <v>500</v>
      </c>
      <c r="K499" s="2">
        <v>2000</v>
      </c>
    </row>
    <row r="500" spans="1:11" x14ac:dyDescent="0.3">
      <c r="A500">
        <v>492</v>
      </c>
      <c r="B500" s="1">
        <v>45106</v>
      </c>
      <c r="C500" s="3">
        <f t="shared" si="14"/>
        <v>2023</v>
      </c>
      <c r="D500" s="3">
        <f t="shared" si="15"/>
        <v>6</v>
      </c>
      <c r="E500" t="s">
        <v>167</v>
      </c>
      <c r="F500" t="s">
        <v>1022</v>
      </c>
      <c r="G500">
        <v>61</v>
      </c>
      <c r="H500" t="s">
        <v>2</v>
      </c>
      <c r="I500" s="3">
        <v>4</v>
      </c>
      <c r="J500" s="2">
        <v>25</v>
      </c>
      <c r="K500" s="2">
        <v>100</v>
      </c>
    </row>
    <row r="501" spans="1:11" x14ac:dyDescent="0.3">
      <c r="A501">
        <v>737</v>
      </c>
      <c r="B501" s="1">
        <v>45106</v>
      </c>
      <c r="C501" s="3">
        <f t="shared" si="14"/>
        <v>2023</v>
      </c>
      <c r="D501" s="3">
        <f t="shared" si="15"/>
        <v>6</v>
      </c>
      <c r="E501" t="s">
        <v>826</v>
      </c>
      <c r="F501" t="s">
        <v>1023</v>
      </c>
      <c r="G501">
        <v>33</v>
      </c>
      <c r="H501" t="s">
        <v>3</v>
      </c>
      <c r="I501" s="3">
        <v>1</v>
      </c>
      <c r="J501" s="2">
        <v>50</v>
      </c>
      <c r="K501" s="2">
        <v>50</v>
      </c>
    </row>
    <row r="502" spans="1:11" x14ac:dyDescent="0.3">
      <c r="A502">
        <v>684</v>
      </c>
      <c r="B502" s="1">
        <v>45107</v>
      </c>
      <c r="C502" s="3">
        <f t="shared" si="14"/>
        <v>2023</v>
      </c>
      <c r="D502" s="3">
        <f t="shared" si="15"/>
        <v>6</v>
      </c>
      <c r="E502" t="s">
        <v>563</v>
      </c>
      <c r="F502" t="s">
        <v>1023</v>
      </c>
      <c r="G502">
        <v>28</v>
      </c>
      <c r="H502" t="s">
        <v>3</v>
      </c>
      <c r="I502" s="3">
        <v>2</v>
      </c>
      <c r="J502" s="2">
        <v>500</v>
      </c>
      <c r="K502" s="2">
        <v>1000</v>
      </c>
    </row>
    <row r="503" spans="1:11" x14ac:dyDescent="0.3">
      <c r="A503">
        <v>878</v>
      </c>
      <c r="B503" s="1">
        <v>45107</v>
      </c>
      <c r="C503" s="3">
        <f t="shared" si="14"/>
        <v>2023</v>
      </c>
      <c r="D503" s="3">
        <f t="shared" si="15"/>
        <v>6</v>
      </c>
      <c r="E503" t="s">
        <v>842</v>
      </c>
      <c r="F503" t="s">
        <v>1023</v>
      </c>
      <c r="G503">
        <v>20</v>
      </c>
      <c r="H503" t="s">
        <v>3</v>
      </c>
      <c r="I503" s="3">
        <v>1</v>
      </c>
      <c r="J503" s="2">
        <v>30</v>
      </c>
      <c r="K503" s="2">
        <v>30</v>
      </c>
    </row>
    <row r="504" spans="1:11" x14ac:dyDescent="0.3">
      <c r="A504">
        <v>78</v>
      </c>
      <c r="B504" s="1">
        <v>45108</v>
      </c>
      <c r="C504" s="3">
        <f t="shared" si="14"/>
        <v>2023</v>
      </c>
      <c r="D504" s="3">
        <f t="shared" si="15"/>
        <v>7</v>
      </c>
      <c r="E504" t="s">
        <v>458</v>
      </c>
      <c r="F504" t="s">
        <v>1023</v>
      </c>
      <c r="G504">
        <v>47</v>
      </c>
      <c r="H504" t="s">
        <v>3</v>
      </c>
      <c r="I504" s="3">
        <v>3</v>
      </c>
      <c r="J504" s="2">
        <v>500</v>
      </c>
      <c r="K504" s="2">
        <v>1500</v>
      </c>
    </row>
    <row r="505" spans="1:11" x14ac:dyDescent="0.3">
      <c r="A505">
        <v>260</v>
      </c>
      <c r="B505" s="1">
        <v>45108</v>
      </c>
      <c r="C505" s="3">
        <f t="shared" si="14"/>
        <v>2023</v>
      </c>
      <c r="D505" s="3">
        <f t="shared" si="15"/>
        <v>7</v>
      </c>
      <c r="E505" t="s">
        <v>676</v>
      </c>
      <c r="F505" t="s">
        <v>1022</v>
      </c>
      <c r="G505">
        <v>28</v>
      </c>
      <c r="H505" t="s">
        <v>2</v>
      </c>
      <c r="I505" s="3">
        <v>2</v>
      </c>
      <c r="J505" s="2">
        <v>30</v>
      </c>
      <c r="K505" s="2">
        <v>60</v>
      </c>
    </row>
    <row r="506" spans="1:11" x14ac:dyDescent="0.3">
      <c r="A506">
        <v>455</v>
      </c>
      <c r="B506" s="1">
        <v>45108</v>
      </c>
      <c r="C506" s="3">
        <f t="shared" si="14"/>
        <v>2023</v>
      </c>
      <c r="D506" s="3">
        <f t="shared" si="15"/>
        <v>7</v>
      </c>
      <c r="E506" t="s">
        <v>141</v>
      </c>
      <c r="F506" t="s">
        <v>1022</v>
      </c>
      <c r="G506">
        <v>31</v>
      </c>
      <c r="H506" t="s">
        <v>4</v>
      </c>
      <c r="I506" s="3">
        <v>4</v>
      </c>
      <c r="J506" s="2">
        <v>25</v>
      </c>
      <c r="K506" s="2">
        <v>100</v>
      </c>
    </row>
    <row r="507" spans="1:11" x14ac:dyDescent="0.3">
      <c r="A507">
        <v>837</v>
      </c>
      <c r="B507" s="1">
        <v>45108</v>
      </c>
      <c r="C507" s="3">
        <f t="shared" si="14"/>
        <v>2023</v>
      </c>
      <c r="D507" s="3">
        <f t="shared" si="15"/>
        <v>7</v>
      </c>
      <c r="E507" t="s">
        <v>350</v>
      </c>
      <c r="F507" t="s">
        <v>1022</v>
      </c>
      <c r="G507">
        <v>18</v>
      </c>
      <c r="H507" t="s">
        <v>2</v>
      </c>
      <c r="I507" s="3">
        <v>3</v>
      </c>
      <c r="J507" s="2">
        <v>30</v>
      </c>
      <c r="K507" s="2">
        <v>90</v>
      </c>
    </row>
    <row r="508" spans="1:11" x14ac:dyDescent="0.3">
      <c r="A508">
        <v>45</v>
      </c>
      <c r="B508" s="1">
        <v>45110</v>
      </c>
      <c r="C508" s="3">
        <f t="shared" si="14"/>
        <v>2023</v>
      </c>
      <c r="D508" s="3">
        <f t="shared" si="15"/>
        <v>7</v>
      </c>
      <c r="E508" t="s">
        <v>938</v>
      </c>
      <c r="F508" t="s">
        <v>1023</v>
      </c>
      <c r="G508">
        <v>55</v>
      </c>
      <c r="H508" t="s">
        <v>4</v>
      </c>
      <c r="I508" s="3">
        <v>1</v>
      </c>
      <c r="J508" s="2">
        <v>30</v>
      </c>
      <c r="K508" s="2">
        <v>30</v>
      </c>
    </row>
    <row r="509" spans="1:11" x14ac:dyDescent="0.3">
      <c r="A509">
        <v>449</v>
      </c>
      <c r="B509" s="1">
        <v>45110</v>
      </c>
      <c r="C509" s="3">
        <f t="shared" si="14"/>
        <v>2023</v>
      </c>
      <c r="D509" s="3">
        <f t="shared" si="15"/>
        <v>7</v>
      </c>
      <c r="E509" t="s">
        <v>139</v>
      </c>
      <c r="F509" t="s">
        <v>1022</v>
      </c>
      <c r="G509">
        <v>25</v>
      </c>
      <c r="H509" t="s">
        <v>4</v>
      </c>
      <c r="I509" s="3">
        <v>4</v>
      </c>
      <c r="J509" s="2">
        <v>50</v>
      </c>
      <c r="K509" s="2">
        <v>200</v>
      </c>
    </row>
    <row r="510" spans="1:11" x14ac:dyDescent="0.3">
      <c r="A510">
        <v>904</v>
      </c>
      <c r="B510" s="1">
        <v>45111</v>
      </c>
      <c r="C510" s="3">
        <f t="shared" si="14"/>
        <v>2023</v>
      </c>
      <c r="D510" s="3">
        <f t="shared" si="15"/>
        <v>7</v>
      </c>
      <c r="E510" t="s">
        <v>805</v>
      </c>
      <c r="F510" t="s">
        <v>1022</v>
      </c>
      <c r="G510">
        <v>28</v>
      </c>
      <c r="H510" t="s">
        <v>3</v>
      </c>
      <c r="I510" s="3">
        <v>1</v>
      </c>
      <c r="J510" s="2">
        <v>500</v>
      </c>
      <c r="K510" s="2">
        <v>500</v>
      </c>
    </row>
    <row r="511" spans="1:11" x14ac:dyDescent="0.3">
      <c r="A511">
        <v>59</v>
      </c>
      <c r="B511" s="1">
        <v>45112</v>
      </c>
      <c r="C511" s="3">
        <f t="shared" si="14"/>
        <v>2023</v>
      </c>
      <c r="D511" s="3">
        <f t="shared" si="15"/>
        <v>7</v>
      </c>
      <c r="E511" t="s">
        <v>943</v>
      </c>
      <c r="F511" t="s">
        <v>1022</v>
      </c>
      <c r="G511">
        <v>62</v>
      </c>
      <c r="H511" t="s">
        <v>3</v>
      </c>
      <c r="I511" s="3">
        <v>1</v>
      </c>
      <c r="J511" s="2">
        <v>50</v>
      </c>
      <c r="K511" s="2">
        <v>50</v>
      </c>
    </row>
    <row r="512" spans="1:11" x14ac:dyDescent="0.3">
      <c r="A512">
        <v>128</v>
      </c>
      <c r="B512" s="1">
        <v>45112</v>
      </c>
      <c r="C512" s="3">
        <f t="shared" si="14"/>
        <v>2023</v>
      </c>
      <c r="D512" s="3">
        <f t="shared" si="15"/>
        <v>7</v>
      </c>
      <c r="E512" t="s">
        <v>951</v>
      </c>
      <c r="F512" t="s">
        <v>1022</v>
      </c>
      <c r="G512">
        <v>25</v>
      </c>
      <c r="H512" t="s">
        <v>2</v>
      </c>
      <c r="I512" s="3">
        <v>1</v>
      </c>
      <c r="J512" s="2">
        <v>500</v>
      </c>
      <c r="K512" s="2">
        <v>500</v>
      </c>
    </row>
    <row r="513" spans="1:11" x14ac:dyDescent="0.3">
      <c r="A513">
        <v>186</v>
      </c>
      <c r="B513" s="1">
        <v>45112</v>
      </c>
      <c r="C513" s="3">
        <f t="shared" si="14"/>
        <v>2023</v>
      </c>
      <c r="D513" s="3">
        <f t="shared" si="15"/>
        <v>7</v>
      </c>
      <c r="E513" t="s">
        <v>205</v>
      </c>
      <c r="F513" t="s">
        <v>1022</v>
      </c>
      <c r="G513">
        <v>20</v>
      </c>
      <c r="H513" t="s">
        <v>3</v>
      </c>
      <c r="I513" s="3">
        <v>4</v>
      </c>
      <c r="J513" s="2">
        <v>50</v>
      </c>
      <c r="K513" s="2">
        <v>200</v>
      </c>
    </row>
    <row r="514" spans="1:11" x14ac:dyDescent="0.3">
      <c r="A514">
        <v>802</v>
      </c>
      <c r="B514" s="1">
        <v>45112</v>
      </c>
      <c r="C514" s="3">
        <f t="shared" ref="C514:C577" si="16">YEAR(B514)</f>
        <v>2023</v>
      </c>
      <c r="D514" s="3">
        <f t="shared" ref="D514:D577" si="17">MONTH(B514)</f>
        <v>7</v>
      </c>
      <c r="E514" t="s">
        <v>776</v>
      </c>
      <c r="F514" t="s">
        <v>1023</v>
      </c>
      <c r="G514">
        <v>46</v>
      </c>
      <c r="H514" t="s">
        <v>2</v>
      </c>
      <c r="I514" s="3">
        <v>1</v>
      </c>
      <c r="J514" s="2">
        <v>30</v>
      </c>
      <c r="K514" s="2">
        <v>30</v>
      </c>
    </row>
    <row r="515" spans="1:11" x14ac:dyDescent="0.3">
      <c r="A515">
        <v>75</v>
      </c>
      <c r="B515" s="1">
        <v>45113</v>
      </c>
      <c r="C515" s="3">
        <f t="shared" si="16"/>
        <v>2023</v>
      </c>
      <c r="D515" s="3">
        <f t="shared" si="17"/>
        <v>7</v>
      </c>
      <c r="E515" t="s">
        <v>236</v>
      </c>
      <c r="F515" t="s">
        <v>1022</v>
      </c>
      <c r="G515">
        <v>61</v>
      </c>
      <c r="H515" t="s">
        <v>2</v>
      </c>
      <c r="I515" s="3">
        <v>4</v>
      </c>
      <c r="J515" s="2">
        <v>50</v>
      </c>
      <c r="K515" s="2">
        <v>200</v>
      </c>
    </row>
    <row r="516" spans="1:11" x14ac:dyDescent="0.3">
      <c r="A516">
        <v>447</v>
      </c>
      <c r="B516" s="1">
        <v>45113</v>
      </c>
      <c r="C516" s="3">
        <f t="shared" si="16"/>
        <v>2023</v>
      </c>
      <c r="D516" s="3">
        <f t="shared" si="17"/>
        <v>7</v>
      </c>
      <c r="E516" t="s">
        <v>137</v>
      </c>
      <c r="F516" t="s">
        <v>1022</v>
      </c>
      <c r="G516">
        <v>22</v>
      </c>
      <c r="H516" t="s">
        <v>2</v>
      </c>
      <c r="I516" s="3">
        <v>4</v>
      </c>
      <c r="J516" s="2">
        <v>500</v>
      </c>
      <c r="K516" s="2">
        <v>2000</v>
      </c>
    </row>
    <row r="517" spans="1:11" x14ac:dyDescent="0.3">
      <c r="A517">
        <v>528</v>
      </c>
      <c r="B517" s="1">
        <v>45113</v>
      </c>
      <c r="C517" s="3">
        <f t="shared" si="16"/>
        <v>2023</v>
      </c>
      <c r="D517" s="3">
        <f t="shared" si="17"/>
        <v>7</v>
      </c>
      <c r="E517" t="s">
        <v>616</v>
      </c>
      <c r="F517" t="s">
        <v>1023</v>
      </c>
      <c r="G517">
        <v>36</v>
      </c>
      <c r="H517" t="s">
        <v>3</v>
      </c>
      <c r="I517" s="3">
        <v>2</v>
      </c>
      <c r="J517" s="2">
        <v>30</v>
      </c>
      <c r="K517" s="2">
        <v>60</v>
      </c>
    </row>
    <row r="518" spans="1:11" x14ac:dyDescent="0.3">
      <c r="A518">
        <v>759</v>
      </c>
      <c r="B518" s="1">
        <v>45115</v>
      </c>
      <c r="C518" s="3">
        <f t="shared" si="16"/>
        <v>2023</v>
      </c>
      <c r="D518" s="3">
        <f t="shared" si="17"/>
        <v>7</v>
      </c>
      <c r="E518" t="s">
        <v>593</v>
      </c>
      <c r="F518" t="s">
        <v>1022</v>
      </c>
      <c r="G518">
        <v>49</v>
      </c>
      <c r="H518" t="s">
        <v>4</v>
      </c>
      <c r="I518" s="3">
        <v>2</v>
      </c>
      <c r="J518" s="2">
        <v>50</v>
      </c>
      <c r="K518" s="2">
        <v>100</v>
      </c>
    </row>
    <row r="519" spans="1:11" x14ac:dyDescent="0.3">
      <c r="A519">
        <v>870</v>
      </c>
      <c r="B519" s="1">
        <v>45115</v>
      </c>
      <c r="C519" s="3">
        <f t="shared" si="16"/>
        <v>2023</v>
      </c>
      <c r="D519" s="3">
        <f t="shared" si="17"/>
        <v>7</v>
      </c>
      <c r="E519" t="s">
        <v>47</v>
      </c>
      <c r="F519" t="s">
        <v>1023</v>
      </c>
      <c r="G519">
        <v>46</v>
      </c>
      <c r="H519" t="s">
        <v>4</v>
      </c>
      <c r="I519" s="3">
        <v>4</v>
      </c>
      <c r="J519" s="2">
        <v>30</v>
      </c>
      <c r="K519" s="2">
        <v>120</v>
      </c>
    </row>
    <row r="520" spans="1:11" x14ac:dyDescent="0.3">
      <c r="A520">
        <v>77</v>
      </c>
      <c r="B520" s="1">
        <v>45116</v>
      </c>
      <c r="C520" s="3">
        <f t="shared" si="16"/>
        <v>2023</v>
      </c>
      <c r="D520" s="3">
        <f t="shared" si="17"/>
        <v>7</v>
      </c>
      <c r="E520" t="s">
        <v>737</v>
      </c>
      <c r="F520" t="s">
        <v>1023</v>
      </c>
      <c r="G520">
        <v>47</v>
      </c>
      <c r="H520" t="s">
        <v>3</v>
      </c>
      <c r="I520" s="3">
        <v>2</v>
      </c>
      <c r="J520" s="2">
        <v>50</v>
      </c>
      <c r="K520" s="2">
        <v>100</v>
      </c>
    </row>
    <row r="521" spans="1:11" x14ac:dyDescent="0.3">
      <c r="A521">
        <v>381</v>
      </c>
      <c r="B521" s="1">
        <v>45116</v>
      </c>
      <c r="C521" s="3">
        <f t="shared" si="16"/>
        <v>2023</v>
      </c>
      <c r="D521" s="3">
        <f t="shared" si="17"/>
        <v>7</v>
      </c>
      <c r="E521" t="s">
        <v>185</v>
      </c>
      <c r="F521" t="s">
        <v>1023</v>
      </c>
      <c r="G521">
        <v>44</v>
      </c>
      <c r="H521" t="s">
        <v>3</v>
      </c>
      <c r="I521" s="3">
        <v>4</v>
      </c>
      <c r="J521" s="2">
        <v>25</v>
      </c>
      <c r="K521" s="2">
        <v>100</v>
      </c>
    </row>
    <row r="522" spans="1:11" x14ac:dyDescent="0.3">
      <c r="A522">
        <v>439</v>
      </c>
      <c r="B522" s="1">
        <v>45116</v>
      </c>
      <c r="C522" s="3">
        <f t="shared" si="16"/>
        <v>2023</v>
      </c>
      <c r="D522" s="3">
        <f t="shared" si="17"/>
        <v>7</v>
      </c>
      <c r="E522" t="s">
        <v>370</v>
      </c>
      <c r="F522" t="s">
        <v>1022</v>
      </c>
      <c r="G522">
        <v>50</v>
      </c>
      <c r="H522" t="s">
        <v>3</v>
      </c>
      <c r="I522" s="3">
        <v>3</v>
      </c>
      <c r="J522" s="2">
        <v>25</v>
      </c>
      <c r="K522" s="2">
        <v>75</v>
      </c>
    </row>
    <row r="523" spans="1:11" x14ac:dyDescent="0.3">
      <c r="A523">
        <v>792</v>
      </c>
      <c r="B523" s="1">
        <v>45116</v>
      </c>
      <c r="C523" s="3">
        <f t="shared" si="16"/>
        <v>2023</v>
      </c>
      <c r="D523" s="3">
        <f t="shared" si="17"/>
        <v>7</v>
      </c>
      <c r="E523" t="s">
        <v>808</v>
      </c>
      <c r="F523" t="s">
        <v>1023</v>
      </c>
      <c r="G523">
        <v>20</v>
      </c>
      <c r="H523" t="s">
        <v>2</v>
      </c>
      <c r="I523" s="3">
        <v>1</v>
      </c>
      <c r="J523" s="2">
        <v>50</v>
      </c>
      <c r="K523" s="2">
        <v>50</v>
      </c>
    </row>
    <row r="524" spans="1:11" x14ac:dyDescent="0.3">
      <c r="A524">
        <v>176</v>
      </c>
      <c r="B524" s="1">
        <v>45118</v>
      </c>
      <c r="C524" s="3">
        <f t="shared" si="16"/>
        <v>2023</v>
      </c>
      <c r="D524" s="3">
        <f t="shared" si="17"/>
        <v>7</v>
      </c>
      <c r="E524" t="s">
        <v>686</v>
      </c>
      <c r="F524" t="s">
        <v>1023</v>
      </c>
      <c r="G524">
        <v>43</v>
      </c>
      <c r="H524" t="s">
        <v>2</v>
      </c>
      <c r="I524" s="3">
        <v>2</v>
      </c>
      <c r="J524" s="2">
        <v>50</v>
      </c>
      <c r="K524" s="2">
        <v>100</v>
      </c>
    </row>
    <row r="525" spans="1:11" x14ac:dyDescent="0.3">
      <c r="A525">
        <v>216</v>
      </c>
      <c r="B525" s="1">
        <v>45118</v>
      </c>
      <c r="C525" s="3">
        <f t="shared" si="16"/>
        <v>2023</v>
      </c>
      <c r="D525" s="3">
        <f t="shared" si="17"/>
        <v>7</v>
      </c>
      <c r="E525" t="s">
        <v>732</v>
      </c>
      <c r="F525" t="s">
        <v>1022</v>
      </c>
      <c r="G525">
        <v>62</v>
      </c>
      <c r="H525" t="s">
        <v>4</v>
      </c>
      <c r="I525" s="3">
        <v>2</v>
      </c>
      <c r="J525" s="2">
        <v>50</v>
      </c>
      <c r="K525" s="2">
        <v>100</v>
      </c>
    </row>
    <row r="526" spans="1:11" x14ac:dyDescent="0.3">
      <c r="A526">
        <v>772</v>
      </c>
      <c r="B526" s="1">
        <v>45119</v>
      </c>
      <c r="C526" s="3">
        <f t="shared" si="16"/>
        <v>2023</v>
      </c>
      <c r="D526" s="3">
        <f t="shared" si="17"/>
        <v>7</v>
      </c>
      <c r="E526" t="s">
        <v>773</v>
      </c>
      <c r="F526" t="s">
        <v>1022</v>
      </c>
      <c r="G526">
        <v>26</v>
      </c>
      <c r="H526" t="s">
        <v>4</v>
      </c>
      <c r="I526" s="3">
        <v>1</v>
      </c>
      <c r="J526" s="2">
        <v>30</v>
      </c>
      <c r="K526" s="2">
        <v>30</v>
      </c>
    </row>
    <row r="527" spans="1:11" x14ac:dyDescent="0.3">
      <c r="A527">
        <v>53</v>
      </c>
      <c r="B527" s="1">
        <v>45120</v>
      </c>
      <c r="C527" s="3">
        <f t="shared" si="16"/>
        <v>2023</v>
      </c>
      <c r="D527" s="3">
        <f t="shared" si="17"/>
        <v>7</v>
      </c>
      <c r="E527" t="s">
        <v>708</v>
      </c>
      <c r="F527" t="s">
        <v>1022</v>
      </c>
      <c r="G527">
        <v>34</v>
      </c>
      <c r="H527" t="s">
        <v>4</v>
      </c>
      <c r="I527" s="3">
        <v>2</v>
      </c>
      <c r="J527" s="2">
        <v>50</v>
      </c>
      <c r="K527" s="2">
        <v>100</v>
      </c>
    </row>
    <row r="528" spans="1:11" x14ac:dyDescent="0.3">
      <c r="A528">
        <v>43</v>
      </c>
      <c r="B528" s="1">
        <v>45121</v>
      </c>
      <c r="C528" s="3">
        <f t="shared" si="16"/>
        <v>2023</v>
      </c>
      <c r="D528" s="3">
        <f t="shared" si="17"/>
        <v>7</v>
      </c>
      <c r="E528" t="s">
        <v>1010</v>
      </c>
      <c r="F528" t="s">
        <v>1023</v>
      </c>
      <c r="G528">
        <v>48</v>
      </c>
      <c r="H528" t="s">
        <v>3</v>
      </c>
      <c r="I528" s="3">
        <v>1</v>
      </c>
      <c r="J528" s="2">
        <v>300</v>
      </c>
      <c r="K528" s="2">
        <v>300</v>
      </c>
    </row>
    <row r="529" spans="1:11" x14ac:dyDescent="0.3">
      <c r="A529">
        <v>71</v>
      </c>
      <c r="B529" s="1">
        <v>45121</v>
      </c>
      <c r="C529" s="3">
        <f t="shared" si="16"/>
        <v>2023</v>
      </c>
      <c r="D529" s="3">
        <f t="shared" si="17"/>
        <v>7</v>
      </c>
      <c r="E529" t="s">
        <v>230</v>
      </c>
      <c r="F529" t="s">
        <v>1023</v>
      </c>
      <c r="G529">
        <v>51</v>
      </c>
      <c r="H529" t="s">
        <v>2</v>
      </c>
      <c r="I529" s="3">
        <v>4</v>
      </c>
      <c r="J529" s="2">
        <v>25</v>
      </c>
      <c r="K529" s="2">
        <v>100</v>
      </c>
    </row>
    <row r="530" spans="1:11" x14ac:dyDescent="0.3">
      <c r="A530">
        <v>93</v>
      </c>
      <c r="B530" s="1">
        <v>45121</v>
      </c>
      <c r="C530" s="3">
        <f t="shared" si="16"/>
        <v>2023</v>
      </c>
      <c r="D530" s="3">
        <f t="shared" si="17"/>
        <v>7</v>
      </c>
      <c r="E530" t="s">
        <v>244</v>
      </c>
      <c r="F530" t="s">
        <v>1023</v>
      </c>
      <c r="G530">
        <v>35</v>
      </c>
      <c r="H530" t="s">
        <v>2</v>
      </c>
      <c r="I530" s="3">
        <v>4</v>
      </c>
      <c r="J530" s="2">
        <v>500</v>
      </c>
      <c r="K530" s="2">
        <v>2000</v>
      </c>
    </row>
    <row r="531" spans="1:11" x14ac:dyDescent="0.3">
      <c r="A531">
        <v>302</v>
      </c>
      <c r="B531" s="1">
        <v>45121</v>
      </c>
      <c r="C531" s="3">
        <f t="shared" si="16"/>
        <v>2023</v>
      </c>
      <c r="D531" s="3">
        <f t="shared" si="17"/>
        <v>7</v>
      </c>
      <c r="E531" t="s">
        <v>741</v>
      </c>
      <c r="F531" t="s">
        <v>1022</v>
      </c>
      <c r="G531">
        <v>57</v>
      </c>
      <c r="H531" t="s">
        <v>2</v>
      </c>
      <c r="I531" s="3">
        <v>2</v>
      </c>
      <c r="J531" s="2">
        <v>300</v>
      </c>
      <c r="K531" s="2">
        <v>600</v>
      </c>
    </row>
    <row r="532" spans="1:11" x14ac:dyDescent="0.3">
      <c r="A532">
        <v>551</v>
      </c>
      <c r="B532" s="1">
        <v>45121</v>
      </c>
      <c r="C532" s="3">
        <f t="shared" si="16"/>
        <v>2023</v>
      </c>
      <c r="D532" s="3">
        <f t="shared" si="17"/>
        <v>7</v>
      </c>
      <c r="E532" t="s">
        <v>440</v>
      </c>
      <c r="F532" t="s">
        <v>1022</v>
      </c>
      <c r="G532">
        <v>45</v>
      </c>
      <c r="H532" t="s">
        <v>4</v>
      </c>
      <c r="I532" s="3">
        <v>3</v>
      </c>
      <c r="J532" s="2">
        <v>300</v>
      </c>
      <c r="K532" s="2">
        <v>900</v>
      </c>
    </row>
    <row r="533" spans="1:11" x14ac:dyDescent="0.3">
      <c r="A533">
        <v>681</v>
      </c>
      <c r="B533" s="1">
        <v>45121</v>
      </c>
      <c r="C533" s="3">
        <f t="shared" si="16"/>
        <v>2023</v>
      </c>
      <c r="D533" s="3">
        <f t="shared" si="17"/>
        <v>7</v>
      </c>
      <c r="E533" t="s">
        <v>570</v>
      </c>
      <c r="F533" t="s">
        <v>1023</v>
      </c>
      <c r="G533">
        <v>43</v>
      </c>
      <c r="H533" t="s">
        <v>4</v>
      </c>
      <c r="I533" s="3">
        <v>2</v>
      </c>
      <c r="J533" s="2">
        <v>30</v>
      </c>
      <c r="K533" s="2">
        <v>60</v>
      </c>
    </row>
    <row r="534" spans="1:11" x14ac:dyDescent="0.3">
      <c r="A534">
        <v>722</v>
      </c>
      <c r="B534" s="1">
        <v>45121</v>
      </c>
      <c r="C534" s="3">
        <f t="shared" si="16"/>
        <v>2023</v>
      </c>
      <c r="D534" s="3">
        <f t="shared" si="17"/>
        <v>7</v>
      </c>
      <c r="E534" t="s">
        <v>366</v>
      </c>
      <c r="F534" t="s">
        <v>1022</v>
      </c>
      <c r="G534">
        <v>20</v>
      </c>
      <c r="H534" t="s">
        <v>2</v>
      </c>
      <c r="I534" s="3">
        <v>3</v>
      </c>
      <c r="J534" s="2">
        <v>300</v>
      </c>
      <c r="K534" s="2">
        <v>900</v>
      </c>
    </row>
    <row r="535" spans="1:11" x14ac:dyDescent="0.3">
      <c r="A535">
        <v>728</v>
      </c>
      <c r="B535" s="1">
        <v>45121</v>
      </c>
      <c r="C535" s="3">
        <f t="shared" si="16"/>
        <v>2023</v>
      </c>
      <c r="D535" s="3">
        <f t="shared" si="17"/>
        <v>7</v>
      </c>
      <c r="E535" t="s">
        <v>333</v>
      </c>
      <c r="F535" t="s">
        <v>1022</v>
      </c>
      <c r="G535">
        <v>51</v>
      </c>
      <c r="H535" t="s">
        <v>4</v>
      </c>
      <c r="I535" s="3">
        <v>3</v>
      </c>
      <c r="J535" s="2">
        <v>50</v>
      </c>
      <c r="K535" s="2">
        <v>150</v>
      </c>
    </row>
    <row r="536" spans="1:11" x14ac:dyDescent="0.3">
      <c r="A536">
        <v>829</v>
      </c>
      <c r="B536" s="1">
        <v>45121</v>
      </c>
      <c r="C536" s="3">
        <f t="shared" si="16"/>
        <v>2023</v>
      </c>
      <c r="D536" s="3">
        <f t="shared" si="17"/>
        <v>7</v>
      </c>
      <c r="E536" t="s">
        <v>342</v>
      </c>
      <c r="F536" t="s">
        <v>1022</v>
      </c>
      <c r="G536">
        <v>61</v>
      </c>
      <c r="H536" t="s">
        <v>2</v>
      </c>
      <c r="I536" s="3">
        <v>3</v>
      </c>
      <c r="J536" s="2">
        <v>30</v>
      </c>
      <c r="K536" s="2">
        <v>90</v>
      </c>
    </row>
    <row r="537" spans="1:11" x14ac:dyDescent="0.3">
      <c r="A537">
        <v>955</v>
      </c>
      <c r="B537" s="1">
        <v>45121</v>
      </c>
      <c r="C537" s="3">
        <f t="shared" si="16"/>
        <v>2023</v>
      </c>
      <c r="D537" s="3">
        <f t="shared" si="17"/>
        <v>7</v>
      </c>
      <c r="E537" t="s">
        <v>811</v>
      </c>
      <c r="F537" t="s">
        <v>1022</v>
      </c>
      <c r="G537">
        <v>58</v>
      </c>
      <c r="H537" t="s">
        <v>3</v>
      </c>
      <c r="I537" s="3">
        <v>1</v>
      </c>
      <c r="J537" s="2">
        <v>25</v>
      </c>
      <c r="K537" s="2">
        <v>25</v>
      </c>
    </row>
    <row r="538" spans="1:11" x14ac:dyDescent="0.3">
      <c r="A538">
        <v>144</v>
      </c>
      <c r="B538" s="1">
        <v>45122</v>
      </c>
      <c r="C538" s="3">
        <f t="shared" si="16"/>
        <v>2023</v>
      </c>
      <c r="D538" s="3">
        <f t="shared" si="17"/>
        <v>7</v>
      </c>
      <c r="E538" t="s">
        <v>475</v>
      </c>
      <c r="F538" t="s">
        <v>1023</v>
      </c>
      <c r="G538">
        <v>59</v>
      </c>
      <c r="H538" t="s">
        <v>2</v>
      </c>
      <c r="I538" s="3">
        <v>3</v>
      </c>
      <c r="J538" s="2">
        <v>500</v>
      </c>
      <c r="K538" s="2">
        <v>1500</v>
      </c>
    </row>
    <row r="539" spans="1:11" x14ac:dyDescent="0.3">
      <c r="A539">
        <v>474</v>
      </c>
      <c r="B539" s="1">
        <v>45122</v>
      </c>
      <c r="C539" s="3">
        <f t="shared" si="16"/>
        <v>2023</v>
      </c>
      <c r="D539" s="3">
        <f t="shared" si="17"/>
        <v>7</v>
      </c>
      <c r="E539" t="s">
        <v>392</v>
      </c>
      <c r="F539" t="s">
        <v>1023</v>
      </c>
      <c r="G539">
        <v>26</v>
      </c>
      <c r="H539" t="s">
        <v>3</v>
      </c>
      <c r="I539" s="3">
        <v>3</v>
      </c>
      <c r="J539" s="2">
        <v>500</v>
      </c>
      <c r="K539" s="2">
        <v>1500</v>
      </c>
    </row>
    <row r="540" spans="1:11" x14ac:dyDescent="0.3">
      <c r="A540">
        <v>603</v>
      </c>
      <c r="B540" s="1">
        <v>45123</v>
      </c>
      <c r="C540" s="3">
        <f t="shared" si="16"/>
        <v>2023</v>
      </c>
      <c r="D540" s="3">
        <f t="shared" si="17"/>
        <v>7</v>
      </c>
      <c r="E540" t="s">
        <v>411</v>
      </c>
      <c r="F540" t="s">
        <v>1023</v>
      </c>
      <c r="G540">
        <v>40</v>
      </c>
      <c r="H540" t="s">
        <v>3</v>
      </c>
      <c r="I540" s="3">
        <v>3</v>
      </c>
      <c r="J540" s="2">
        <v>30</v>
      </c>
      <c r="K540" s="2">
        <v>90</v>
      </c>
    </row>
    <row r="541" spans="1:11" x14ac:dyDescent="0.3">
      <c r="A541">
        <v>661</v>
      </c>
      <c r="B541" s="1">
        <v>45123</v>
      </c>
      <c r="C541" s="3">
        <f t="shared" si="16"/>
        <v>2023</v>
      </c>
      <c r="D541" s="3">
        <f t="shared" si="17"/>
        <v>7</v>
      </c>
      <c r="E541" t="s">
        <v>16</v>
      </c>
      <c r="F541" t="s">
        <v>1023</v>
      </c>
      <c r="G541">
        <v>44</v>
      </c>
      <c r="H541" t="s">
        <v>3</v>
      </c>
      <c r="I541" s="3">
        <v>4</v>
      </c>
      <c r="J541" s="2">
        <v>25</v>
      </c>
      <c r="K541" s="2">
        <v>100</v>
      </c>
    </row>
    <row r="542" spans="1:11" x14ac:dyDescent="0.3">
      <c r="A542">
        <v>143</v>
      </c>
      <c r="B542" s="1">
        <v>45124</v>
      </c>
      <c r="C542" s="3">
        <f t="shared" si="16"/>
        <v>2023</v>
      </c>
      <c r="D542" s="3">
        <f t="shared" si="17"/>
        <v>7</v>
      </c>
      <c r="E542" t="s">
        <v>988</v>
      </c>
      <c r="F542" t="s">
        <v>1023</v>
      </c>
      <c r="G542">
        <v>45</v>
      </c>
      <c r="H542" t="s">
        <v>3</v>
      </c>
      <c r="I542" s="3">
        <v>1</v>
      </c>
      <c r="J542" s="2">
        <v>50</v>
      </c>
      <c r="K542" s="2">
        <v>50</v>
      </c>
    </row>
    <row r="543" spans="1:11" x14ac:dyDescent="0.3">
      <c r="A543">
        <v>515</v>
      </c>
      <c r="B543" s="1">
        <v>45124</v>
      </c>
      <c r="C543" s="3">
        <f t="shared" si="16"/>
        <v>2023</v>
      </c>
      <c r="D543" s="3">
        <f t="shared" si="17"/>
        <v>7</v>
      </c>
      <c r="E543" t="s">
        <v>422</v>
      </c>
      <c r="F543" t="s">
        <v>1023</v>
      </c>
      <c r="G543">
        <v>49</v>
      </c>
      <c r="H543" t="s">
        <v>3</v>
      </c>
      <c r="I543" s="3">
        <v>3</v>
      </c>
      <c r="J543" s="2">
        <v>300</v>
      </c>
      <c r="K543" s="2">
        <v>900</v>
      </c>
    </row>
    <row r="544" spans="1:11" x14ac:dyDescent="0.3">
      <c r="A544">
        <v>304</v>
      </c>
      <c r="B544" s="1">
        <v>45126</v>
      </c>
      <c r="C544" s="3">
        <f t="shared" si="16"/>
        <v>2023</v>
      </c>
      <c r="D544" s="3">
        <f t="shared" si="17"/>
        <v>7</v>
      </c>
      <c r="E544" t="s">
        <v>743</v>
      </c>
      <c r="F544" t="s">
        <v>1023</v>
      </c>
      <c r="G544">
        <v>37</v>
      </c>
      <c r="H544" t="s">
        <v>4</v>
      </c>
      <c r="I544" s="3">
        <v>2</v>
      </c>
      <c r="J544" s="2">
        <v>30</v>
      </c>
      <c r="K544" s="2">
        <v>60</v>
      </c>
    </row>
    <row r="545" spans="1:11" x14ac:dyDescent="0.3">
      <c r="A545">
        <v>676</v>
      </c>
      <c r="B545" s="1">
        <v>45126</v>
      </c>
      <c r="C545" s="3">
        <f t="shared" si="16"/>
        <v>2023</v>
      </c>
      <c r="D545" s="3">
        <f t="shared" si="17"/>
        <v>7</v>
      </c>
      <c r="E545" t="s">
        <v>314</v>
      </c>
      <c r="F545" t="s">
        <v>1022</v>
      </c>
      <c r="G545">
        <v>63</v>
      </c>
      <c r="H545" t="s">
        <v>4</v>
      </c>
      <c r="I545" s="3">
        <v>3</v>
      </c>
      <c r="J545" s="2">
        <v>500</v>
      </c>
      <c r="K545" s="2">
        <v>1500</v>
      </c>
    </row>
    <row r="546" spans="1:11" x14ac:dyDescent="0.3">
      <c r="A546">
        <v>686</v>
      </c>
      <c r="B546" s="1">
        <v>45126</v>
      </c>
      <c r="C546" s="3">
        <f t="shared" si="16"/>
        <v>2023</v>
      </c>
      <c r="D546" s="3">
        <f t="shared" si="17"/>
        <v>7</v>
      </c>
      <c r="E546" t="s">
        <v>29</v>
      </c>
      <c r="F546" t="s">
        <v>1023</v>
      </c>
      <c r="G546">
        <v>28</v>
      </c>
      <c r="H546" t="s">
        <v>4</v>
      </c>
      <c r="I546" s="3">
        <v>4</v>
      </c>
      <c r="J546" s="2">
        <v>50</v>
      </c>
      <c r="K546" s="2">
        <v>200</v>
      </c>
    </row>
    <row r="547" spans="1:11" x14ac:dyDescent="0.3">
      <c r="A547">
        <v>698</v>
      </c>
      <c r="B547" s="1">
        <v>45126</v>
      </c>
      <c r="C547" s="3">
        <f t="shared" si="16"/>
        <v>2023</v>
      </c>
      <c r="D547" s="3">
        <f t="shared" si="17"/>
        <v>7</v>
      </c>
      <c r="E547" t="s">
        <v>837</v>
      </c>
      <c r="F547" t="s">
        <v>1023</v>
      </c>
      <c r="G547">
        <v>64</v>
      </c>
      <c r="H547" t="s">
        <v>4</v>
      </c>
      <c r="I547" s="3">
        <v>1</v>
      </c>
      <c r="J547" s="2">
        <v>300</v>
      </c>
      <c r="K547" s="2">
        <v>300</v>
      </c>
    </row>
    <row r="548" spans="1:11" x14ac:dyDescent="0.3">
      <c r="A548">
        <v>709</v>
      </c>
      <c r="B548" s="1">
        <v>45128</v>
      </c>
      <c r="C548" s="3">
        <f t="shared" si="16"/>
        <v>2023</v>
      </c>
      <c r="D548" s="3">
        <f t="shared" si="17"/>
        <v>7</v>
      </c>
      <c r="E548" t="s">
        <v>581</v>
      </c>
      <c r="F548" t="s">
        <v>1023</v>
      </c>
      <c r="G548">
        <v>19</v>
      </c>
      <c r="H548" t="s">
        <v>4</v>
      </c>
      <c r="I548" s="3">
        <v>2</v>
      </c>
      <c r="J548" s="2">
        <v>500</v>
      </c>
      <c r="K548" s="2">
        <v>1000</v>
      </c>
    </row>
    <row r="549" spans="1:11" x14ac:dyDescent="0.3">
      <c r="A549">
        <v>114</v>
      </c>
      <c r="B549" s="1">
        <v>45129</v>
      </c>
      <c r="C549" s="3">
        <f t="shared" si="16"/>
        <v>2023</v>
      </c>
      <c r="D549" s="3">
        <f t="shared" si="17"/>
        <v>7</v>
      </c>
      <c r="E549" t="s">
        <v>254</v>
      </c>
      <c r="F549" t="s">
        <v>1023</v>
      </c>
      <c r="G549">
        <v>22</v>
      </c>
      <c r="H549" t="s">
        <v>2</v>
      </c>
      <c r="I549" s="3">
        <v>4</v>
      </c>
      <c r="J549" s="2">
        <v>25</v>
      </c>
      <c r="K549" s="2">
        <v>100</v>
      </c>
    </row>
    <row r="550" spans="1:11" x14ac:dyDescent="0.3">
      <c r="A550">
        <v>359</v>
      </c>
      <c r="B550" s="1">
        <v>45129</v>
      </c>
      <c r="C550" s="3">
        <f t="shared" si="16"/>
        <v>2023</v>
      </c>
      <c r="D550" s="3">
        <f t="shared" si="17"/>
        <v>7</v>
      </c>
      <c r="E550" t="s">
        <v>924</v>
      </c>
      <c r="F550" t="s">
        <v>1022</v>
      </c>
      <c r="G550">
        <v>50</v>
      </c>
      <c r="H550" t="s">
        <v>3</v>
      </c>
      <c r="I550" s="3">
        <v>1</v>
      </c>
      <c r="J550" s="2">
        <v>50</v>
      </c>
      <c r="K550" s="2">
        <v>50</v>
      </c>
    </row>
    <row r="551" spans="1:11" x14ac:dyDescent="0.3">
      <c r="A551">
        <v>773</v>
      </c>
      <c r="B551" s="1">
        <v>45130</v>
      </c>
      <c r="C551" s="3">
        <f t="shared" si="16"/>
        <v>2023</v>
      </c>
      <c r="D551" s="3">
        <f t="shared" si="17"/>
        <v>7</v>
      </c>
      <c r="E551" t="s">
        <v>78</v>
      </c>
      <c r="F551" t="s">
        <v>1022</v>
      </c>
      <c r="G551">
        <v>25</v>
      </c>
      <c r="H551" t="s">
        <v>4</v>
      </c>
      <c r="I551" s="3">
        <v>4</v>
      </c>
      <c r="J551" s="2">
        <v>500</v>
      </c>
      <c r="K551" s="2">
        <v>2000</v>
      </c>
    </row>
    <row r="552" spans="1:11" x14ac:dyDescent="0.3">
      <c r="A552">
        <v>127</v>
      </c>
      <c r="B552" s="1">
        <v>45131</v>
      </c>
      <c r="C552" s="3">
        <f t="shared" si="16"/>
        <v>2023</v>
      </c>
      <c r="D552" s="3">
        <f t="shared" si="17"/>
        <v>7</v>
      </c>
      <c r="E552" t="s">
        <v>714</v>
      </c>
      <c r="F552" t="s">
        <v>1023</v>
      </c>
      <c r="G552">
        <v>33</v>
      </c>
      <c r="H552" t="s">
        <v>3</v>
      </c>
      <c r="I552" s="3">
        <v>2</v>
      </c>
      <c r="J552" s="2">
        <v>25</v>
      </c>
      <c r="K552" s="2">
        <v>50</v>
      </c>
    </row>
    <row r="553" spans="1:11" x14ac:dyDescent="0.3">
      <c r="A553">
        <v>213</v>
      </c>
      <c r="B553" s="1">
        <v>45131</v>
      </c>
      <c r="C553" s="3">
        <f t="shared" si="16"/>
        <v>2023</v>
      </c>
      <c r="D553" s="3">
        <f t="shared" si="17"/>
        <v>7</v>
      </c>
      <c r="E553" t="s">
        <v>486</v>
      </c>
      <c r="F553" t="s">
        <v>1022</v>
      </c>
      <c r="G553">
        <v>27</v>
      </c>
      <c r="H553" t="s">
        <v>2</v>
      </c>
      <c r="I553" s="3">
        <v>3</v>
      </c>
      <c r="J553" s="2">
        <v>500</v>
      </c>
      <c r="K553" s="2">
        <v>1500</v>
      </c>
    </row>
    <row r="554" spans="1:11" x14ac:dyDescent="0.3">
      <c r="A554">
        <v>487</v>
      </c>
      <c r="B554" s="1">
        <v>45131</v>
      </c>
      <c r="C554" s="3">
        <f t="shared" si="16"/>
        <v>2023</v>
      </c>
      <c r="D554" s="3">
        <f t="shared" si="17"/>
        <v>7</v>
      </c>
      <c r="E554" t="s">
        <v>165</v>
      </c>
      <c r="F554" t="s">
        <v>1022</v>
      </c>
      <c r="G554">
        <v>44</v>
      </c>
      <c r="H554" t="s">
        <v>3</v>
      </c>
      <c r="I554" s="3">
        <v>4</v>
      </c>
      <c r="J554" s="2">
        <v>500</v>
      </c>
      <c r="K554" s="2">
        <v>2000</v>
      </c>
    </row>
    <row r="555" spans="1:11" x14ac:dyDescent="0.3">
      <c r="A555">
        <v>495</v>
      </c>
      <c r="B555" s="1">
        <v>45131</v>
      </c>
      <c r="C555" s="3">
        <f t="shared" si="16"/>
        <v>2023</v>
      </c>
      <c r="D555" s="3">
        <f t="shared" si="17"/>
        <v>7</v>
      </c>
      <c r="E555" t="s">
        <v>655</v>
      </c>
      <c r="F555" t="s">
        <v>1022</v>
      </c>
      <c r="G555">
        <v>24</v>
      </c>
      <c r="H555" t="s">
        <v>2</v>
      </c>
      <c r="I555" s="3">
        <v>2</v>
      </c>
      <c r="J555" s="2">
        <v>30</v>
      </c>
      <c r="K555" s="2">
        <v>60</v>
      </c>
    </row>
    <row r="556" spans="1:11" x14ac:dyDescent="0.3">
      <c r="A556">
        <v>605</v>
      </c>
      <c r="B556" s="1">
        <v>45131</v>
      </c>
      <c r="C556" s="3">
        <f t="shared" si="16"/>
        <v>2023</v>
      </c>
      <c r="D556" s="3">
        <f t="shared" si="17"/>
        <v>7</v>
      </c>
      <c r="E556" t="s">
        <v>643</v>
      </c>
      <c r="F556" t="s">
        <v>1022</v>
      </c>
      <c r="G556">
        <v>37</v>
      </c>
      <c r="H556" t="s">
        <v>4</v>
      </c>
      <c r="I556" s="3">
        <v>2</v>
      </c>
      <c r="J556" s="2">
        <v>500</v>
      </c>
      <c r="K556" s="2">
        <v>1000</v>
      </c>
    </row>
    <row r="557" spans="1:11" x14ac:dyDescent="0.3">
      <c r="A557">
        <v>105</v>
      </c>
      <c r="B557" s="1">
        <v>45132</v>
      </c>
      <c r="C557" s="3">
        <f t="shared" si="16"/>
        <v>2023</v>
      </c>
      <c r="D557" s="3">
        <f t="shared" si="17"/>
        <v>7</v>
      </c>
      <c r="E557" t="s">
        <v>990</v>
      </c>
      <c r="F557" t="s">
        <v>1023</v>
      </c>
      <c r="G557">
        <v>22</v>
      </c>
      <c r="H557" t="s">
        <v>4</v>
      </c>
      <c r="I557" s="3">
        <v>1</v>
      </c>
      <c r="J557" s="2">
        <v>500</v>
      </c>
      <c r="K557" s="2">
        <v>500</v>
      </c>
    </row>
    <row r="558" spans="1:11" x14ac:dyDescent="0.3">
      <c r="A558">
        <v>299</v>
      </c>
      <c r="B558" s="1">
        <v>45132</v>
      </c>
      <c r="C558" s="3">
        <f t="shared" si="16"/>
        <v>2023</v>
      </c>
      <c r="D558" s="3">
        <f t="shared" si="17"/>
        <v>7</v>
      </c>
      <c r="E558" t="s">
        <v>739</v>
      </c>
      <c r="F558" t="s">
        <v>1022</v>
      </c>
      <c r="G558">
        <v>61</v>
      </c>
      <c r="H558" t="s">
        <v>4</v>
      </c>
      <c r="I558" s="3">
        <v>2</v>
      </c>
      <c r="J558" s="2">
        <v>500</v>
      </c>
      <c r="K558" s="2">
        <v>1000</v>
      </c>
    </row>
    <row r="559" spans="1:11" x14ac:dyDescent="0.3">
      <c r="A559">
        <v>934</v>
      </c>
      <c r="B559" s="1">
        <v>45132</v>
      </c>
      <c r="C559" s="3">
        <f t="shared" si="16"/>
        <v>2023</v>
      </c>
      <c r="D559" s="3">
        <f t="shared" si="17"/>
        <v>7</v>
      </c>
      <c r="E559" t="s">
        <v>822</v>
      </c>
      <c r="F559" t="s">
        <v>1022</v>
      </c>
      <c r="G559">
        <v>30</v>
      </c>
      <c r="H559" t="s">
        <v>2</v>
      </c>
      <c r="I559" s="3">
        <v>1</v>
      </c>
      <c r="J559" s="2">
        <v>500</v>
      </c>
      <c r="K559" s="2">
        <v>500</v>
      </c>
    </row>
    <row r="560" spans="1:11" x14ac:dyDescent="0.3">
      <c r="A560">
        <v>270</v>
      </c>
      <c r="B560" s="1">
        <v>45133</v>
      </c>
      <c r="C560" s="3">
        <f t="shared" si="16"/>
        <v>2023</v>
      </c>
      <c r="D560" s="3">
        <f t="shared" si="17"/>
        <v>7</v>
      </c>
      <c r="E560" t="s">
        <v>961</v>
      </c>
      <c r="F560" t="s">
        <v>1022</v>
      </c>
      <c r="G560">
        <v>43</v>
      </c>
      <c r="H560" t="s">
        <v>4</v>
      </c>
      <c r="I560" s="3">
        <v>1</v>
      </c>
      <c r="J560" s="2">
        <v>300</v>
      </c>
      <c r="K560" s="2">
        <v>300</v>
      </c>
    </row>
    <row r="561" spans="1:11" x14ac:dyDescent="0.3">
      <c r="A561">
        <v>338</v>
      </c>
      <c r="B561" s="1">
        <v>45133</v>
      </c>
      <c r="C561" s="3">
        <f t="shared" si="16"/>
        <v>2023</v>
      </c>
      <c r="D561" s="3">
        <f t="shared" si="17"/>
        <v>7</v>
      </c>
      <c r="E561" t="s">
        <v>606</v>
      </c>
      <c r="F561" t="s">
        <v>1022</v>
      </c>
      <c r="G561">
        <v>54</v>
      </c>
      <c r="H561" t="s">
        <v>2</v>
      </c>
      <c r="I561" s="3">
        <v>2</v>
      </c>
      <c r="J561" s="2">
        <v>50</v>
      </c>
      <c r="K561" s="2">
        <v>100</v>
      </c>
    </row>
    <row r="562" spans="1:11" x14ac:dyDescent="0.3">
      <c r="A562">
        <v>543</v>
      </c>
      <c r="B562" s="1">
        <v>45133</v>
      </c>
      <c r="C562" s="3">
        <f t="shared" si="16"/>
        <v>2023</v>
      </c>
      <c r="D562" s="3">
        <f t="shared" si="17"/>
        <v>7</v>
      </c>
      <c r="E562" t="s">
        <v>628</v>
      </c>
      <c r="F562" t="s">
        <v>1022</v>
      </c>
      <c r="G562">
        <v>49</v>
      </c>
      <c r="H562" t="s">
        <v>2</v>
      </c>
      <c r="I562" s="3">
        <v>2</v>
      </c>
      <c r="J562" s="2">
        <v>300</v>
      </c>
      <c r="K562" s="2">
        <v>600</v>
      </c>
    </row>
    <row r="563" spans="1:11" x14ac:dyDescent="0.3">
      <c r="A563">
        <v>557</v>
      </c>
      <c r="B563" s="1">
        <v>45134</v>
      </c>
      <c r="C563" s="3">
        <f t="shared" si="16"/>
        <v>2023</v>
      </c>
      <c r="D563" s="3">
        <f t="shared" si="17"/>
        <v>7</v>
      </c>
      <c r="E563" t="s">
        <v>403</v>
      </c>
      <c r="F563" t="s">
        <v>1023</v>
      </c>
      <c r="G563">
        <v>20</v>
      </c>
      <c r="H563" t="s">
        <v>2</v>
      </c>
      <c r="I563" s="3">
        <v>3</v>
      </c>
      <c r="J563" s="2">
        <v>30</v>
      </c>
      <c r="K563" s="2">
        <v>90</v>
      </c>
    </row>
    <row r="564" spans="1:11" x14ac:dyDescent="0.3">
      <c r="A564">
        <v>702</v>
      </c>
      <c r="B564" s="1">
        <v>45134</v>
      </c>
      <c r="C564" s="3">
        <f t="shared" si="16"/>
        <v>2023</v>
      </c>
      <c r="D564" s="3">
        <f t="shared" si="17"/>
        <v>7</v>
      </c>
      <c r="E564" t="s">
        <v>580</v>
      </c>
      <c r="F564" t="s">
        <v>1023</v>
      </c>
      <c r="G564">
        <v>60</v>
      </c>
      <c r="H564" t="s">
        <v>3</v>
      </c>
      <c r="I564" s="3">
        <v>2</v>
      </c>
      <c r="J564" s="2">
        <v>300</v>
      </c>
      <c r="K564" s="2">
        <v>600</v>
      </c>
    </row>
    <row r="565" spans="1:11" x14ac:dyDescent="0.3">
      <c r="A565">
        <v>864</v>
      </c>
      <c r="B565" s="1">
        <v>45134</v>
      </c>
      <c r="C565" s="3">
        <f t="shared" si="16"/>
        <v>2023</v>
      </c>
      <c r="D565" s="3">
        <f t="shared" si="17"/>
        <v>7</v>
      </c>
      <c r="E565" t="s">
        <v>778</v>
      </c>
      <c r="F565" t="s">
        <v>1023</v>
      </c>
      <c r="G565">
        <v>51</v>
      </c>
      <c r="H565" t="s">
        <v>4</v>
      </c>
      <c r="I565" s="3">
        <v>1</v>
      </c>
      <c r="J565" s="2">
        <v>500</v>
      </c>
      <c r="K565" s="2">
        <v>500</v>
      </c>
    </row>
    <row r="566" spans="1:11" x14ac:dyDescent="0.3">
      <c r="A566">
        <v>254</v>
      </c>
      <c r="B566" s="1">
        <v>45135</v>
      </c>
      <c r="C566" s="3">
        <f t="shared" si="16"/>
        <v>2023</v>
      </c>
      <c r="D566" s="3">
        <f t="shared" si="17"/>
        <v>7</v>
      </c>
      <c r="E566" t="s">
        <v>940</v>
      </c>
      <c r="F566" t="s">
        <v>1022</v>
      </c>
      <c r="G566">
        <v>41</v>
      </c>
      <c r="H566" t="s">
        <v>4</v>
      </c>
      <c r="I566" s="3">
        <v>1</v>
      </c>
      <c r="J566" s="2">
        <v>500</v>
      </c>
      <c r="K566" s="2">
        <v>500</v>
      </c>
    </row>
    <row r="567" spans="1:11" x14ac:dyDescent="0.3">
      <c r="A567">
        <v>295</v>
      </c>
      <c r="B567" s="1">
        <v>45135</v>
      </c>
      <c r="C567" s="3">
        <f t="shared" si="16"/>
        <v>2023</v>
      </c>
      <c r="D567" s="3">
        <f t="shared" si="17"/>
        <v>7</v>
      </c>
      <c r="E567" t="s">
        <v>508</v>
      </c>
      <c r="F567" t="s">
        <v>1023</v>
      </c>
      <c r="G567">
        <v>27</v>
      </c>
      <c r="H567" t="s">
        <v>2</v>
      </c>
      <c r="I567" s="3">
        <v>3</v>
      </c>
      <c r="J567" s="2">
        <v>300</v>
      </c>
      <c r="K567" s="2">
        <v>900</v>
      </c>
    </row>
    <row r="568" spans="1:11" x14ac:dyDescent="0.3">
      <c r="A568">
        <v>457</v>
      </c>
      <c r="B568" s="1">
        <v>45135</v>
      </c>
      <c r="C568" s="3">
        <f t="shared" si="16"/>
        <v>2023</v>
      </c>
      <c r="D568" s="3">
        <f t="shared" si="17"/>
        <v>7</v>
      </c>
      <c r="E568" t="s">
        <v>378</v>
      </c>
      <c r="F568" t="s">
        <v>1023</v>
      </c>
      <c r="G568">
        <v>58</v>
      </c>
      <c r="H568" t="s">
        <v>2</v>
      </c>
      <c r="I568" s="3">
        <v>3</v>
      </c>
      <c r="J568" s="2">
        <v>300</v>
      </c>
      <c r="K568" s="2">
        <v>900</v>
      </c>
    </row>
    <row r="569" spans="1:11" x14ac:dyDescent="0.3">
      <c r="A569">
        <v>668</v>
      </c>
      <c r="B569" s="1">
        <v>45135</v>
      </c>
      <c r="C569" s="3">
        <f t="shared" si="16"/>
        <v>2023</v>
      </c>
      <c r="D569" s="3">
        <f t="shared" si="17"/>
        <v>7</v>
      </c>
      <c r="E569" t="s">
        <v>348</v>
      </c>
      <c r="F569" t="s">
        <v>1023</v>
      </c>
      <c r="G569">
        <v>62</v>
      </c>
      <c r="H569" t="s">
        <v>4</v>
      </c>
      <c r="I569" s="3">
        <v>3</v>
      </c>
      <c r="J569" s="2">
        <v>50</v>
      </c>
      <c r="K569" s="2">
        <v>150</v>
      </c>
    </row>
    <row r="570" spans="1:11" x14ac:dyDescent="0.3">
      <c r="A570">
        <v>850</v>
      </c>
      <c r="B570" s="1">
        <v>45135</v>
      </c>
      <c r="C570" s="3">
        <f t="shared" si="16"/>
        <v>2023</v>
      </c>
      <c r="D570" s="3">
        <f t="shared" si="17"/>
        <v>7</v>
      </c>
      <c r="E570" t="s">
        <v>542</v>
      </c>
      <c r="F570" t="s">
        <v>1023</v>
      </c>
      <c r="G570">
        <v>26</v>
      </c>
      <c r="H570" t="s">
        <v>2</v>
      </c>
      <c r="I570" s="3">
        <v>2</v>
      </c>
      <c r="J570" s="2">
        <v>500</v>
      </c>
      <c r="K570" s="2">
        <v>1000</v>
      </c>
    </row>
    <row r="571" spans="1:11" x14ac:dyDescent="0.3">
      <c r="A571">
        <v>541</v>
      </c>
      <c r="B571" s="1">
        <v>45136</v>
      </c>
      <c r="C571" s="3">
        <f t="shared" si="16"/>
        <v>2023</v>
      </c>
      <c r="D571" s="3">
        <f t="shared" si="17"/>
        <v>7</v>
      </c>
      <c r="E571" t="s">
        <v>923</v>
      </c>
      <c r="F571" t="s">
        <v>1022</v>
      </c>
      <c r="G571">
        <v>56</v>
      </c>
      <c r="H571" t="s">
        <v>2</v>
      </c>
      <c r="I571" s="3">
        <v>1</v>
      </c>
      <c r="J571" s="2">
        <v>500</v>
      </c>
      <c r="K571" s="2">
        <v>500</v>
      </c>
    </row>
    <row r="572" spans="1:11" x14ac:dyDescent="0.3">
      <c r="A572">
        <v>980</v>
      </c>
      <c r="B572" s="1">
        <v>45136</v>
      </c>
      <c r="C572" s="3">
        <f t="shared" si="16"/>
        <v>2023</v>
      </c>
      <c r="D572" s="3">
        <f t="shared" si="17"/>
        <v>7</v>
      </c>
      <c r="E572" t="s">
        <v>301</v>
      </c>
      <c r="F572" t="s">
        <v>1023</v>
      </c>
      <c r="G572">
        <v>31</v>
      </c>
      <c r="H572" t="s">
        <v>4</v>
      </c>
      <c r="I572" s="3">
        <v>3</v>
      </c>
      <c r="J572" s="2">
        <v>25</v>
      </c>
      <c r="K572" s="2">
        <v>75</v>
      </c>
    </row>
    <row r="573" spans="1:11" x14ac:dyDescent="0.3">
      <c r="A573">
        <v>262</v>
      </c>
      <c r="B573" s="1">
        <v>45137</v>
      </c>
      <c r="C573" s="3">
        <f t="shared" si="16"/>
        <v>2023</v>
      </c>
      <c r="D573" s="3">
        <f t="shared" si="17"/>
        <v>7</v>
      </c>
      <c r="E573" t="s">
        <v>225</v>
      </c>
      <c r="F573" t="s">
        <v>1023</v>
      </c>
      <c r="G573">
        <v>32</v>
      </c>
      <c r="H573" t="s">
        <v>2</v>
      </c>
      <c r="I573" s="3">
        <v>4</v>
      </c>
      <c r="J573" s="2">
        <v>30</v>
      </c>
      <c r="K573" s="2">
        <v>120</v>
      </c>
    </row>
    <row r="574" spans="1:11" x14ac:dyDescent="0.3">
      <c r="A574">
        <v>467</v>
      </c>
      <c r="B574" s="1">
        <v>45137</v>
      </c>
      <c r="C574" s="3">
        <f t="shared" si="16"/>
        <v>2023</v>
      </c>
      <c r="D574" s="3">
        <f t="shared" si="17"/>
        <v>7</v>
      </c>
      <c r="E574" t="s">
        <v>384</v>
      </c>
      <c r="F574" t="s">
        <v>1023</v>
      </c>
      <c r="G574">
        <v>53</v>
      </c>
      <c r="H574" t="s">
        <v>4</v>
      </c>
      <c r="I574" s="3">
        <v>3</v>
      </c>
      <c r="J574" s="2">
        <v>50</v>
      </c>
      <c r="K574" s="2">
        <v>150</v>
      </c>
    </row>
    <row r="575" spans="1:11" x14ac:dyDescent="0.3">
      <c r="A575">
        <v>463</v>
      </c>
      <c r="B575" s="1">
        <v>45138</v>
      </c>
      <c r="C575" s="3">
        <f t="shared" si="16"/>
        <v>2023</v>
      </c>
      <c r="D575" s="3">
        <f t="shared" si="17"/>
        <v>7</v>
      </c>
      <c r="E575" t="s">
        <v>380</v>
      </c>
      <c r="F575" t="s">
        <v>1023</v>
      </c>
      <c r="G575">
        <v>54</v>
      </c>
      <c r="H575" t="s">
        <v>2</v>
      </c>
      <c r="I575" s="3">
        <v>3</v>
      </c>
      <c r="J575" s="2">
        <v>500</v>
      </c>
      <c r="K575" s="2">
        <v>1500</v>
      </c>
    </row>
    <row r="576" spans="1:11" x14ac:dyDescent="0.3">
      <c r="A576">
        <v>598</v>
      </c>
      <c r="B576" s="1">
        <v>45139</v>
      </c>
      <c r="C576" s="3">
        <f t="shared" si="16"/>
        <v>2023</v>
      </c>
      <c r="D576" s="3">
        <f t="shared" si="17"/>
        <v>8</v>
      </c>
      <c r="E576" t="s">
        <v>104</v>
      </c>
      <c r="F576" t="s">
        <v>1022</v>
      </c>
      <c r="G576">
        <v>37</v>
      </c>
      <c r="H576" t="s">
        <v>2</v>
      </c>
      <c r="I576" s="3">
        <v>4</v>
      </c>
      <c r="J576" s="2">
        <v>30</v>
      </c>
      <c r="K576" s="2">
        <v>120</v>
      </c>
    </row>
    <row r="577" spans="1:11" x14ac:dyDescent="0.3">
      <c r="A577">
        <v>667</v>
      </c>
      <c r="B577" s="1">
        <v>45139</v>
      </c>
      <c r="C577" s="3">
        <f t="shared" si="16"/>
        <v>2023</v>
      </c>
      <c r="D577" s="3">
        <f t="shared" si="17"/>
        <v>8</v>
      </c>
      <c r="E577" t="s">
        <v>926</v>
      </c>
      <c r="F577" t="s">
        <v>1023</v>
      </c>
      <c r="G577">
        <v>29</v>
      </c>
      <c r="H577" t="s">
        <v>4</v>
      </c>
      <c r="I577" s="3">
        <v>1</v>
      </c>
      <c r="J577" s="2">
        <v>500</v>
      </c>
      <c r="K577" s="2">
        <v>500</v>
      </c>
    </row>
    <row r="578" spans="1:11" x14ac:dyDescent="0.3">
      <c r="A578">
        <v>672</v>
      </c>
      <c r="B578" s="1">
        <v>45139</v>
      </c>
      <c r="C578" s="3">
        <f t="shared" ref="C578:C641" si="18">YEAR(B578)</f>
        <v>2023</v>
      </c>
      <c r="D578" s="3">
        <f t="shared" ref="D578:D641" si="19">MONTH(B578)</f>
        <v>8</v>
      </c>
      <c r="E578" t="s">
        <v>549</v>
      </c>
      <c r="F578" t="s">
        <v>1023</v>
      </c>
      <c r="G578">
        <v>34</v>
      </c>
      <c r="H578" t="s">
        <v>2</v>
      </c>
      <c r="I578" s="3">
        <v>2</v>
      </c>
      <c r="J578" s="2">
        <v>50</v>
      </c>
      <c r="K578" s="2">
        <v>100</v>
      </c>
    </row>
    <row r="579" spans="1:11" x14ac:dyDescent="0.3">
      <c r="A579">
        <v>949</v>
      </c>
      <c r="B579" s="1">
        <v>45140</v>
      </c>
      <c r="C579" s="3">
        <f t="shared" si="18"/>
        <v>2023</v>
      </c>
      <c r="D579" s="3">
        <f t="shared" si="19"/>
        <v>8</v>
      </c>
      <c r="E579" t="s">
        <v>545</v>
      </c>
      <c r="F579" t="s">
        <v>1023</v>
      </c>
      <c r="G579">
        <v>41</v>
      </c>
      <c r="H579" t="s">
        <v>4</v>
      </c>
      <c r="I579" s="3">
        <v>2</v>
      </c>
      <c r="J579" s="2">
        <v>25</v>
      </c>
      <c r="K579" s="2">
        <v>50</v>
      </c>
    </row>
    <row r="580" spans="1:11" x14ac:dyDescent="0.3">
      <c r="A580">
        <v>27</v>
      </c>
      <c r="B580" s="1">
        <v>45141</v>
      </c>
      <c r="C580" s="3">
        <f t="shared" si="18"/>
        <v>2023</v>
      </c>
      <c r="D580" s="3">
        <f t="shared" si="19"/>
        <v>8</v>
      </c>
      <c r="E580" t="s">
        <v>712</v>
      </c>
      <c r="F580" t="s">
        <v>1023</v>
      </c>
      <c r="G580">
        <v>38</v>
      </c>
      <c r="H580" t="s">
        <v>2</v>
      </c>
      <c r="I580" s="3">
        <v>2</v>
      </c>
      <c r="J580" s="2">
        <v>25</v>
      </c>
      <c r="K580" s="2">
        <v>50</v>
      </c>
    </row>
    <row r="581" spans="1:11" x14ac:dyDescent="0.3">
      <c r="A581">
        <v>347</v>
      </c>
      <c r="B581" s="1">
        <v>45141</v>
      </c>
      <c r="C581" s="3">
        <f t="shared" si="18"/>
        <v>2023</v>
      </c>
      <c r="D581" s="3">
        <f t="shared" si="19"/>
        <v>8</v>
      </c>
      <c r="E581" t="s">
        <v>930</v>
      </c>
      <c r="F581" t="s">
        <v>1022</v>
      </c>
      <c r="G581">
        <v>42</v>
      </c>
      <c r="H581" t="s">
        <v>4</v>
      </c>
      <c r="I581" s="3">
        <v>1</v>
      </c>
      <c r="J581" s="2">
        <v>25</v>
      </c>
      <c r="K581" s="2">
        <v>25</v>
      </c>
    </row>
    <row r="582" spans="1:11" x14ac:dyDescent="0.3">
      <c r="A582">
        <v>687</v>
      </c>
      <c r="B582" s="1">
        <v>45141</v>
      </c>
      <c r="C582" s="3">
        <f t="shared" si="18"/>
        <v>2023</v>
      </c>
      <c r="D582" s="3">
        <f t="shared" si="19"/>
        <v>8</v>
      </c>
      <c r="E582" t="s">
        <v>817</v>
      </c>
      <c r="F582" t="s">
        <v>1023</v>
      </c>
      <c r="G582">
        <v>53</v>
      </c>
      <c r="H582" t="s">
        <v>4</v>
      </c>
      <c r="I582" s="3">
        <v>1</v>
      </c>
      <c r="J582" s="2">
        <v>300</v>
      </c>
      <c r="K582" s="2">
        <v>300</v>
      </c>
    </row>
    <row r="583" spans="1:11" x14ac:dyDescent="0.3">
      <c r="A583">
        <v>549</v>
      </c>
      <c r="B583" s="1">
        <v>45142</v>
      </c>
      <c r="C583" s="3">
        <f t="shared" si="18"/>
        <v>2023</v>
      </c>
      <c r="D583" s="3">
        <f t="shared" si="19"/>
        <v>8</v>
      </c>
      <c r="E583" t="s">
        <v>636</v>
      </c>
      <c r="F583" t="s">
        <v>1023</v>
      </c>
      <c r="G583">
        <v>50</v>
      </c>
      <c r="H583" t="s">
        <v>2</v>
      </c>
      <c r="I583" s="3">
        <v>2</v>
      </c>
      <c r="J583" s="2">
        <v>50</v>
      </c>
      <c r="K583" s="2">
        <v>100</v>
      </c>
    </row>
    <row r="584" spans="1:11" x14ac:dyDescent="0.3">
      <c r="A584">
        <v>675</v>
      </c>
      <c r="B584" s="1">
        <v>45142</v>
      </c>
      <c r="C584" s="3">
        <f t="shared" si="18"/>
        <v>2023</v>
      </c>
      <c r="D584" s="3">
        <f t="shared" si="19"/>
        <v>8</v>
      </c>
      <c r="E584" t="s">
        <v>538</v>
      </c>
      <c r="F584" t="s">
        <v>1023</v>
      </c>
      <c r="G584">
        <v>45</v>
      </c>
      <c r="H584" t="s">
        <v>3</v>
      </c>
      <c r="I584" s="3">
        <v>2</v>
      </c>
      <c r="J584" s="2">
        <v>30</v>
      </c>
      <c r="K584" s="2">
        <v>60</v>
      </c>
    </row>
    <row r="585" spans="1:11" x14ac:dyDescent="0.3">
      <c r="A585">
        <v>730</v>
      </c>
      <c r="B585" s="1">
        <v>45142</v>
      </c>
      <c r="C585" s="3">
        <f t="shared" si="18"/>
        <v>2023</v>
      </c>
      <c r="D585" s="3">
        <f t="shared" si="19"/>
        <v>8</v>
      </c>
      <c r="E585" t="s">
        <v>586</v>
      </c>
      <c r="F585" t="s">
        <v>1023</v>
      </c>
      <c r="G585">
        <v>36</v>
      </c>
      <c r="H585" t="s">
        <v>3</v>
      </c>
      <c r="I585" s="3">
        <v>2</v>
      </c>
      <c r="J585" s="2">
        <v>25</v>
      </c>
      <c r="K585" s="2">
        <v>50</v>
      </c>
    </row>
    <row r="586" spans="1:11" x14ac:dyDescent="0.3">
      <c r="A586">
        <v>798</v>
      </c>
      <c r="B586" s="1">
        <v>45142</v>
      </c>
      <c r="C586" s="3">
        <f t="shared" si="18"/>
        <v>2023</v>
      </c>
      <c r="D586" s="3">
        <f t="shared" si="19"/>
        <v>8</v>
      </c>
      <c r="E586" t="s">
        <v>825</v>
      </c>
      <c r="F586" t="s">
        <v>1022</v>
      </c>
      <c r="G586">
        <v>61</v>
      </c>
      <c r="H586" t="s">
        <v>3</v>
      </c>
      <c r="I586" s="3">
        <v>1</v>
      </c>
      <c r="J586" s="2">
        <v>50</v>
      </c>
      <c r="K586" s="2">
        <v>50</v>
      </c>
    </row>
    <row r="587" spans="1:11" x14ac:dyDescent="0.3">
      <c r="A587">
        <v>13</v>
      </c>
      <c r="B587" s="1">
        <v>45143</v>
      </c>
      <c r="C587" s="3">
        <f t="shared" si="18"/>
        <v>2023</v>
      </c>
      <c r="D587" s="3">
        <f t="shared" si="19"/>
        <v>8</v>
      </c>
      <c r="E587" t="s">
        <v>484</v>
      </c>
      <c r="F587" t="s">
        <v>1022</v>
      </c>
      <c r="G587">
        <v>22</v>
      </c>
      <c r="H587" t="s">
        <v>4</v>
      </c>
      <c r="I587" s="3">
        <v>3</v>
      </c>
      <c r="J587" s="2">
        <v>500</v>
      </c>
      <c r="K587" s="2">
        <v>1500</v>
      </c>
    </row>
    <row r="588" spans="1:11" x14ac:dyDescent="0.3">
      <c r="A588">
        <v>35</v>
      </c>
      <c r="B588" s="1">
        <v>45143</v>
      </c>
      <c r="C588" s="3">
        <f t="shared" si="18"/>
        <v>2023</v>
      </c>
      <c r="D588" s="3">
        <f t="shared" si="19"/>
        <v>8</v>
      </c>
      <c r="E588" t="s">
        <v>467</v>
      </c>
      <c r="F588" t="s">
        <v>1023</v>
      </c>
      <c r="G588">
        <v>58</v>
      </c>
      <c r="H588" t="s">
        <v>2</v>
      </c>
      <c r="I588" s="3">
        <v>3</v>
      </c>
      <c r="J588" s="2">
        <v>300</v>
      </c>
      <c r="K588" s="2">
        <v>900</v>
      </c>
    </row>
    <row r="589" spans="1:11" x14ac:dyDescent="0.3">
      <c r="A589">
        <v>140</v>
      </c>
      <c r="B589" s="1">
        <v>45143</v>
      </c>
      <c r="C589" s="3">
        <f t="shared" si="18"/>
        <v>2023</v>
      </c>
      <c r="D589" s="3">
        <f t="shared" si="19"/>
        <v>8</v>
      </c>
      <c r="E589" t="s">
        <v>1001</v>
      </c>
      <c r="F589" t="s">
        <v>1022</v>
      </c>
      <c r="G589">
        <v>38</v>
      </c>
      <c r="H589" t="s">
        <v>4</v>
      </c>
      <c r="I589" s="3">
        <v>1</v>
      </c>
      <c r="J589" s="2">
        <v>30</v>
      </c>
      <c r="K589" s="2">
        <v>30</v>
      </c>
    </row>
    <row r="590" spans="1:11" x14ac:dyDescent="0.3">
      <c r="A590">
        <v>206</v>
      </c>
      <c r="B590" s="1">
        <v>45143</v>
      </c>
      <c r="C590" s="3">
        <f t="shared" si="18"/>
        <v>2023</v>
      </c>
      <c r="D590" s="3">
        <f t="shared" si="19"/>
        <v>8</v>
      </c>
      <c r="E590" t="s">
        <v>974</v>
      </c>
      <c r="F590" t="s">
        <v>1022</v>
      </c>
      <c r="G590">
        <v>61</v>
      </c>
      <c r="H590" t="s">
        <v>3</v>
      </c>
      <c r="I590" s="3">
        <v>1</v>
      </c>
      <c r="J590" s="2">
        <v>25</v>
      </c>
      <c r="K590" s="2">
        <v>25</v>
      </c>
    </row>
    <row r="591" spans="1:11" x14ac:dyDescent="0.3">
      <c r="A591">
        <v>261</v>
      </c>
      <c r="B591" s="1">
        <v>45143</v>
      </c>
      <c r="C591" s="3">
        <f t="shared" si="18"/>
        <v>2023</v>
      </c>
      <c r="D591" s="3">
        <f t="shared" si="19"/>
        <v>8</v>
      </c>
      <c r="E591" t="s">
        <v>721</v>
      </c>
      <c r="F591" t="s">
        <v>1022</v>
      </c>
      <c r="G591">
        <v>21</v>
      </c>
      <c r="H591" t="s">
        <v>3</v>
      </c>
      <c r="I591" s="3">
        <v>2</v>
      </c>
      <c r="J591" s="2">
        <v>25</v>
      </c>
      <c r="K591" s="2">
        <v>50</v>
      </c>
    </row>
    <row r="592" spans="1:11" x14ac:dyDescent="0.3">
      <c r="A592">
        <v>279</v>
      </c>
      <c r="B592" s="1">
        <v>45143</v>
      </c>
      <c r="C592" s="3">
        <f t="shared" si="18"/>
        <v>2023</v>
      </c>
      <c r="D592" s="3">
        <f t="shared" si="19"/>
        <v>8</v>
      </c>
      <c r="E592" t="s">
        <v>979</v>
      </c>
      <c r="F592" t="s">
        <v>1022</v>
      </c>
      <c r="G592">
        <v>50</v>
      </c>
      <c r="H592" t="s">
        <v>3</v>
      </c>
      <c r="I592" s="3">
        <v>1</v>
      </c>
      <c r="J592" s="2">
        <v>500</v>
      </c>
      <c r="K592" s="2">
        <v>500</v>
      </c>
    </row>
    <row r="593" spans="1:11" x14ac:dyDescent="0.3">
      <c r="A593">
        <v>308</v>
      </c>
      <c r="B593" s="1">
        <v>45143</v>
      </c>
      <c r="C593" s="3">
        <f t="shared" si="18"/>
        <v>2023</v>
      </c>
      <c r="D593" s="3">
        <f t="shared" si="19"/>
        <v>8</v>
      </c>
      <c r="E593" t="s">
        <v>233</v>
      </c>
      <c r="F593" t="s">
        <v>1023</v>
      </c>
      <c r="G593">
        <v>34</v>
      </c>
      <c r="H593" t="s">
        <v>2</v>
      </c>
      <c r="I593" s="3">
        <v>4</v>
      </c>
      <c r="J593" s="2">
        <v>300</v>
      </c>
      <c r="K593" s="2">
        <v>1200</v>
      </c>
    </row>
    <row r="594" spans="1:11" x14ac:dyDescent="0.3">
      <c r="A594">
        <v>418</v>
      </c>
      <c r="B594" s="1">
        <v>45143</v>
      </c>
      <c r="C594" s="3">
        <f t="shared" si="18"/>
        <v>2023</v>
      </c>
      <c r="D594" s="3">
        <f t="shared" si="19"/>
        <v>8</v>
      </c>
      <c r="E594" t="s">
        <v>657</v>
      </c>
      <c r="F594" t="s">
        <v>1023</v>
      </c>
      <c r="G594">
        <v>60</v>
      </c>
      <c r="H594" t="s">
        <v>4</v>
      </c>
      <c r="I594" s="3">
        <v>2</v>
      </c>
      <c r="J594" s="2">
        <v>500</v>
      </c>
      <c r="K594" s="2">
        <v>1000</v>
      </c>
    </row>
    <row r="595" spans="1:11" x14ac:dyDescent="0.3">
      <c r="A595">
        <v>612</v>
      </c>
      <c r="B595" s="1">
        <v>45144</v>
      </c>
      <c r="C595" s="3">
        <f t="shared" si="18"/>
        <v>2023</v>
      </c>
      <c r="D595" s="3">
        <f t="shared" si="19"/>
        <v>8</v>
      </c>
      <c r="E595" t="s">
        <v>899</v>
      </c>
      <c r="F595" t="s">
        <v>1023</v>
      </c>
      <c r="G595">
        <v>61</v>
      </c>
      <c r="H595" t="s">
        <v>4</v>
      </c>
      <c r="I595" s="3">
        <v>1</v>
      </c>
      <c r="J595" s="2">
        <v>500</v>
      </c>
      <c r="K595" s="2">
        <v>500</v>
      </c>
    </row>
    <row r="596" spans="1:11" x14ac:dyDescent="0.3">
      <c r="A596">
        <v>875</v>
      </c>
      <c r="B596" s="1">
        <v>45144</v>
      </c>
      <c r="C596" s="3">
        <f t="shared" si="18"/>
        <v>2023</v>
      </c>
      <c r="D596" s="3">
        <f t="shared" si="19"/>
        <v>8</v>
      </c>
      <c r="E596" t="s">
        <v>34</v>
      </c>
      <c r="F596" t="s">
        <v>1023</v>
      </c>
      <c r="G596">
        <v>51</v>
      </c>
      <c r="H596" t="s">
        <v>4</v>
      </c>
      <c r="I596" s="3">
        <v>4</v>
      </c>
      <c r="J596" s="2">
        <v>500</v>
      </c>
      <c r="K596" s="2">
        <v>2000</v>
      </c>
    </row>
    <row r="597" spans="1:11" x14ac:dyDescent="0.3">
      <c r="A597">
        <v>430</v>
      </c>
      <c r="B597" s="1">
        <v>45145</v>
      </c>
      <c r="C597" s="3">
        <f t="shared" si="18"/>
        <v>2023</v>
      </c>
      <c r="D597" s="3">
        <f t="shared" si="19"/>
        <v>8</v>
      </c>
      <c r="E597" t="s">
        <v>373</v>
      </c>
      <c r="F597" t="s">
        <v>1023</v>
      </c>
      <c r="G597">
        <v>43</v>
      </c>
      <c r="H597" t="s">
        <v>4</v>
      </c>
      <c r="I597" s="3">
        <v>3</v>
      </c>
      <c r="J597" s="2">
        <v>300</v>
      </c>
      <c r="K597" s="2">
        <v>900</v>
      </c>
    </row>
    <row r="598" spans="1:11" x14ac:dyDescent="0.3">
      <c r="A598">
        <v>633</v>
      </c>
      <c r="B598" s="1">
        <v>45145</v>
      </c>
      <c r="C598" s="3">
        <f t="shared" si="18"/>
        <v>2023</v>
      </c>
      <c r="D598" s="3">
        <f t="shared" si="19"/>
        <v>8</v>
      </c>
      <c r="E598" t="s">
        <v>110</v>
      </c>
      <c r="F598" t="s">
        <v>1022</v>
      </c>
      <c r="G598">
        <v>39</v>
      </c>
      <c r="H598" t="s">
        <v>2</v>
      </c>
      <c r="I598" s="3">
        <v>4</v>
      </c>
      <c r="J598" s="2">
        <v>30</v>
      </c>
      <c r="K598" s="2">
        <v>120</v>
      </c>
    </row>
    <row r="599" spans="1:11" x14ac:dyDescent="0.3">
      <c r="A599">
        <v>125</v>
      </c>
      <c r="B599" s="1">
        <v>45146</v>
      </c>
      <c r="C599" s="3">
        <f t="shared" si="18"/>
        <v>2023</v>
      </c>
      <c r="D599" s="3">
        <f t="shared" si="19"/>
        <v>8</v>
      </c>
      <c r="E599" t="s">
        <v>710</v>
      </c>
      <c r="F599" t="s">
        <v>1022</v>
      </c>
      <c r="G599">
        <v>48</v>
      </c>
      <c r="H599" t="s">
        <v>3</v>
      </c>
      <c r="I599" s="3">
        <v>2</v>
      </c>
      <c r="J599" s="2">
        <v>50</v>
      </c>
      <c r="K599" s="2">
        <v>100</v>
      </c>
    </row>
    <row r="600" spans="1:11" x14ac:dyDescent="0.3">
      <c r="A600">
        <v>716</v>
      </c>
      <c r="B600" s="1">
        <v>45146</v>
      </c>
      <c r="C600" s="3">
        <f t="shared" si="18"/>
        <v>2023</v>
      </c>
      <c r="D600" s="3">
        <f t="shared" si="19"/>
        <v>8</v>
      </c>
      <c r="E600" t="s">
        <v>46</v>
      </c>
      <c r="F600" t="s">
        <v>1023</v>
      </c>
      <c r="G600">
        <v>60</v>
      </c>
      <c r="H600" t="s">
        <v>3</v>
      </c>
      <c r="I600" s="3">
        <v>4</v>
      </c>
      <c r="J600" s="2">
        <v>300</v>
      </c>
      <c r="K600" s="2">
        <v>1200</v>
      </c>
    </row>
    <row r="601" spans="1:11" x14ac:dyDescent="0.3">
      <c r="A601">
        <v>790</v>
      </c>
      <c r="B601" s="1">
        <v>45146</v>
      </c>
      <c r="C601" s="3">
        <f t="shared" si="18"/>
        <v>2023</v>
      </c>
      <c r="D601" s="3">
        <f t="shared" si="19"/>
        <v>8</v>
      </c>
      <c r="E601" t="s">
        <v>770</v>
      </c>
      <c r="F601" t="s">
        <v>1022</v>
      </c>
      <c r="G601">
        <v>62</v>
      </c>
      <c r="H601" t="s">
        <v>3</v>
      </c>
      <c r="I601" s="3">
        <v>1</v>
      </c>
      <c r="J601" s="2">
        <v>25</v>
      </c>
      <c r="K601" s="2">
        <v>25</v>
      </c>
    </row>
    <row r="602" spans="1:11" x14ac:dyDescent="0.3">
      <c r="A602">
        <v>960</v>
      </c>
      <c r="B602" s="1">
        <v>45146</v>
      </c>
      <c r="C602" s="3">
        <f t="shared" si="18"/>
        <v>2023</v>
      </c>
      <c r="D602" s="3">
        <f t="shared" si="19"/>
        <v>8</v>
      </c>
      <c r="E602" t="s">
        <v>527</v>
      </c>
      <c r="F602" t="s">
        <v>1022</v>
      </c>
      <c r="G602">
        <v>59</v>
      </c>
      <c r="H602" t="s">
        <v>3</v>
      </c>
      <c r="I602" s="3">
        <v>2</v>
      </c>
      <c r="J602" s="2">
        <v>30</v>
      </c>
      <c r="K602" s="2">
        <v>60</v>
      </c>
    </row>
    <row r="603" spans="1:11" x14ac:dyDescent="0.3">
      <c r="A603">
        <v>259</v>
      </c>
      <c r="B603" s="1">
        <v>45147</v>
      </c>
      <c r="C603" s="3">
        <f t="shared" si="18"/>
        <v>2023</v>
      </c>
      <c r="D603" s="3">
        <f t="shared" si="19"/>
        <v>8</v>
      </c>
      <c r="E603" t="s">
        <v>257</v>
      </c>
      <c r="F603" t="s">
        <v>1023</v>
      </c>
      <c r="G603">
        <v>45</v>
      </c>
      <c r="H603" t="s">
        <v>3</v>
      </c>
      <c r="I603" s="3">
        <v>4</v>
      </c>
      <c r="J603" s="2">
        <v>50</v>
      </c>
      <c r="K603" s="2">
        <v>200</v>
      </c>
    </row>
    <row r="604" spans="1:11" x14ac:dyDescent="0.3">
      <c r="A604">
        <v>443</v>
      </c>
      <c r="B604" s="1">
        <v>45147</v>
      </c>
      <c r="C604" s="3">
        <f t="shared" si="18"/>
        <v>2023</v>
      </c>
      <c r="D604" s="3">
        <f t="shared" si="19"/>
        <v>8</v>
      </c>
      <c r="E604" t="s">
        <v>599</v>
      </c>
      <c r="F604" t="s">
        <v>1022</v>
      </c>
      <c r="G604">
        <v>29</v>
      </c>
      <c r="H604" t="s">
        <v>3</v>
      </c>
      <c r="I604" s="3">
        <v>2</v>
      </c>
      <c r="J604" s="2">
        <v>300</v>
      </c>
      <c r="K604" s="2">
        <v>600</v>
      </c>
    </row>
    <row r="605" spans="1:11" x14ac:dyDescent="0.3">
      <c r="A605">
        <v>529</v>
      </c>
      <c r="B605" s="1">
        <v>45147</v>
      </c>
      <c r="C605" s="3">
        <f t="shared" si="18"/>
        <v>2023</v>
      </c>
      <c r="D605" s="3">
        <f t="shared" si="19"/>
        <v>8</v>
      </c>
      <c r="E605" t="s">
        <v>428</v>
      </c>
      <c r="F605" t="s">
        <v>1023</v>
      </c>
      <c r="G605">
        <v>35</v>
      </c>
      <c r="H605" t="s">
        <v>3</v>
      </c>
      <c r="I605" s="3">
        <v>3</v>
      </c>
      <c r="J605" s="2">
        <v>50</v>
      </c>
      <c r="K605" s="2">
        <v>150</v>
      </c>
    </row>
    <row r="606" spans="1:11" x14ac:dyDescent="0.3">
      <c r="A606">
        <v>563</v>
      </c>
      <c r="B606" s="1">
        <v>45147</v>
      </c>
      <c r="C606" s="3">
        <f t="shared" si="18"/>
        <v>2023</v>
      </c>
      <c r="D606" s="3">
        <f t="shared" si="19"/>
        <v>8</v>
      </c>
      <c r="E606" t="s">
        <v>646</v>
      </c>
      <c r="F606" t="s">
        <v>1022</v>
      </c>
      <c r="G606">
        <v>20</v>
      </c>
      <c r="H606" t="s">
        <v>3</v>
      </c>
      <c r="I606" s="3">
        <v>2</v>
      </c>
      <c r="J606" s="2">
        <v>30</v>
      </c>
      <c r="K606" s="2">
        <v>60</v>
      </c>
    </row>
    <row r="607" spans="1:11" x14ac:dyDescent="0.3">
      <c r="A607">
        <v>801</v>
      </c>
      <c r="B607" s="1">
        <v>45148</v>
      </c>
      <c r="C607" s="3">
        <f t="shared" si="18"/>
        <v>2023</v>
      </c>
      <c r="D607" s="3">
        <f t="shared" si="19"/>
        <v>8</v>
      </c>
      <c r="E607" t="s">
        <v>94</v>
      </c>
      <c r="F607" t="s">
        <v>1022</v>
      </c>
      <c r="G607">
        <v>21</v>
      </c>
      <c r="H607" t="s">
        <v>3</v>
      </c>
      <c r="I607" s="3">
        <v>4</v>
      </c>
      <c r="J607" s="2">
        <v>50</v>
      </c>
      <c r="K607" s="2">
        <v>200</v>
      </c>
    </row>
    <row r="608" spans="1:11" x14ac:dyDescent="0.3">
      <c r="A608">
        <v>160</v>
      </c>
      <c r="B608" s="1">
        <v>45149</v>
      </c>
      <c r="C608" s="3">
        <f t="shared" si="18"/>
        <v>2023</v>
      </c>
      <c r="D608" s="3">
        <f t="shared" si="19"/>
        <v>8</v>
      </c>
      <c r="E608" t="s">
        <v>747</v>
      </c>
      <c r="F608" t="s">
        <v>1023</v>
      </c>
      <c r="G608">
        <v>43</v>
      </c>
      <c r="H608" t="s">
        <v>3</v>
      </c>
      <c r="I608" s="3">
        <v>2</v>
      </c>
      <c r="J608" s="2">
        <v>50</v>
      </c>
      <c r="K608" s="2">
        <v>100</v>
      </c>
    </row>
    <row r="609" spans="1:11" x14ac:dyDescent="0.3">
      <c r="A609">
        <v>508</v>
      </c>
      <c r="B609" s="1">
        <v>45149</v>
      </c>
      <c r="C609" s="3">
        <f t="shared" si="18"/>
        <v>2023</v>
      </c>
      <c r="D609" s="3">
        <f t="shared" si="19"/>
        <v>8</v>
      </c>
      <c r="E609" t="s">
        <v>631</v>
      </c>
      <c r="F609" t="s">
        <v>1022</v>
      </c>
      <c r="G609">
        <v>58</v>
      </c>
      <c r="H609" t="s">
        <v>2</v>
      </c>
      <c r="I609" s="3">
        <v>2</v>
      </c>
      <c r="J609" s="2">
        <v>300</v>
      </c>
      <c r="K609" s="2">
        <v>600</v>
      </c>
    </row>
    <row r="610" spans="1:11" x14ac:dyDescent="0.3">
      <c r="A610">
        <v>807</v>
      </c>
      <c r="B610" s="1">
        <v>45149</v>
      </c>
      <c r="C610" s="3">
        <f t="shared" si="18"/>
        <v>2023</v>
      </c>
      <c r="D610" s="3">
        <f t="shared" si="19"/>
        <v>8</v>
      </c>
      <c r="E610" t="s">
        <v>98</v>
      </c>
      <c r="F610" t="s">
        <v>1023</v>
      </c>
      <c r="G610">
        <v>50</v>
      </c>
      <c r="H610" t="s">
        <v>4</v>
      </c>
      <c r="I610" s="3">
        <v>4</v>
      </c>
      <c r="J610" s="2">
        <v>50</v>
      </c>
      <c r="K610" s="2">
        <v>200</v>
      </c>
    </row>
    <row r="611" spans="1:11" x14ac:dyDescent="0.3">
      <c r="A611">
        <v>511</v>
      </c>
      <c r="B611" s="1">
        <v>45150</v>
      </c>
      <c r="C611" s="3">
        <f t="shared" si="18"/>
        <v>2023</v>
      </c>
      <c r="D611" s="3">
        <f t="shared" si="19"/>
        <v>8</v>
      </c>
      <c r="E611" t="s">
        <v>633</v>
      </c>
      <c r="F611" t="s">
        <v>1022</v>
      </c>
      <c r="G611">
        <v>45</v>
      </c>
      <c r="H611" t="s">
        <v>2</v>
      </c>
      <c r="I611" s="3">
        <v>2</v>
      </c>
      <c r="J611" s="2">
        <v>50</v>
      </c>
      <c r="K611" s="2">
        <v>100</v>
      </c>
    </row>
    <row r="612" spans="1:11" x14ac:dyDescent="0.3">
      <c r="A612">
        <v>521</v>
      </c>
      <c r="B612" s="1">
        <v>45150</v>
      </c>
      <c r="C612" s="3">
        <f t="shared" si="18"/>
        <v>2023</v>
      </c>
      <c r="D612" s="3">
        <f t="shared" si="19"/>
        <v>8</v>
      </c>
      <c r="E612" t="s">
        <v>192</v>
      </c>
      <c r="F612" t="s">
        <v>1023</v>
      </c>
      <c r="G612">
        <v>47</v>
      </c>
      <c r="H612" t="s">
        <v>3</v>
      </c>
      <c r="I612" s="3">
        <v>4</v>
      </c>
      <c r="J612" s="2">
        <v>30</v>
      </c>
      <c r="K612" s="2">
        <v>120</v>
      </c>
    </row>
    <row r="613" spans="1:11" x14ac:dyDescent="0.3">
      <c r="A613">
        <v>695</v>
      </c>
      <c r="B613" s="1">
        <v>45150</v>
      </c>
      <c r="C613" s="3">
        <f t="shared" si="18"/>
        <v>2023</v>
      </c>
      <c r="D613" s="3">
        <f t="shared" si="19"/>
        <v>8</v>
      </c>
      <c r="E613" t="s">
        <v>304</v>
      </c>
      <c r="F613" t="s">
        <v>1023</v>
      </c>
      <c r="G613">
        <v>22</v>
      </c>
      <c r="H613" t="s">
        <v>4</v>
      </c>
      <c r="I613" s="3">
        <v>3</v>
      </c>
      <c r="J613" s="2">
        <v>50</v>
      </c>
      <c r="K613" s="2">
        <v>150</v>
      </c>
    </row>
    <row r="614" spans="1:11" x14ac:dyDescent="0.3">
      <c r="A614">
        <v>816</v>
      </c>
      <c r="B614" s="1">
        <v>45150</v>
      </c>
      <c r="C614" s="3">
        <f t="shared" si="18"/>
        <v>2023</v>
      </c>
      <c r="D614" s="3">
        <f t="shared" si="19"/>
        <v>8</v>
      </c>
      <c r="E614" t="s">
        <v>573</v>
      </c>
      <c r="F614" t="s">
        <v>1022</v>
      </c>
      <c r="G614">
        <v>47</v>
      </c>
      <c r="H614" t="s">
        <v>2</v>
      </c>
      <c r="I614" s="3">
        <v>2</v>
      </c>
      <c r="J614" s="2">
        <v>500</v>
      </c>
      <c r="K614" s="2">
        <v>1000</v>
      </c>
    </row>
    <row r="615" spans="1:11" x14ac:dyDescent="0.3">
      <c r="A615">
        <v>217</v>
      </c>
      <c r="B615" s="1">
        <v>45151</v>
      </c>
      <c r="C615" s="3">
        <f t="shared" si="18"/>
        <v>2023</v>
      </c>
      <c r="D615" s="3">
        <f t="shared" si="19"/>
        <v>8</v>
      </c>
      <c r="E615" t="s">
        <v>251</v>
      </c>
      <c r="F615" t="s">
        <v>1023</v>
      </c>
      <c r="G615">
        <v>35</v>
      </c>
      <c r="H615" t="s">
        <v>4</v>
      </c>
      <c r="I615" s="3">
        <v>4</v>
      </c>
      <c r="J615" s="2">
        <v>50</v>
      </c>
      <c r="K615" s="2">
        <v>200</v>
      </c>
    </row>
    <row r="616" spans="1:11" x14ac:dyDescent="0.3">
      <c r="A616">
        <v>384</v>
      </c>
      <c r="B616" s="1">
        <v>45151</v>
      </c>
      <c r="C616" s="3">
        <f t="shared" si="18"/>
        <v>2023</v>
      </c>
      <c r="D616" s="3">
        <f t="shared" si="19"/>
        <v>8</v>
      </c>
      <c r="E616" t="s">
        <v>876</v>
      </c>
      <c r="F616" t="s">
        <v>1022</v>
      </c>
      <c r="G616">
        <v>55</v>
      </c>
      <c r="H616" t="s">
        <v>3</v>
      </c>
      <c r="I616" s="3">
        <v>1</v>
      </c>
      <c r="J616" s="2">
        <v>500</v>
      </c>
      <c r="K616" s="2">
        <v>500</v>
      </c>
    </row>
    <row r="617" spans="1:11" x14ac:dyDescent="0.3">
      <c r="A617">
        <v>648</v>
      </c>
      <c r="B617" s="1">
        <v>45152</v>
      </c>
      <c r="C617" s="3">
        <f t="shared" si="18"/>
        <v>2023</v>
      </c>
      <c r="D617" s="3">
        <f t="shared" si="19"/>
        <v>8</v>
      </c>
      <c r="E617" t="s">
        <v>140</v>
      </c>
      <c r="F617" t="s">
        <v>1022</v>
      </c>
      <c r="G617">
        <v>53</v>
      </c>
      <c r="H617" t="s">
        <v>2</v>
      </c>
      <c r="I617" s="3">
        <v>4</v>
      </c>
      <c r="J617" s="2">
        <v>300</v>
      </c>
      <c r="K617" s="2">
        <v>1200</v>
      </c>
    </row>
    <row r="618" spans="1:11" x14ac:dyDescent="0.3">
      <c r="A618">
        <v>926</v>
      </c>
      <c r="B618" s="1">
        <v>45152</v>
      </c>
      <c r="C618" s="3">
        <f t="shared" si="18"/>
        <v>2023</v>
      </c>
      <c r="D618" s="3">
        <f t="shared" si="19"/>
        <v>8</v>
      </c>
      <c r="E618" t="s">
        <v>806</v>
      </c>
      <c r="F618" t="s">
        <v>1022</v>
      </c>
      <c r="G618">
        <v>22</v>
      </c>
      <c r="H618" t="s">
        <v>4</v>
      </c>
      <c r="I618" s="3">
        <v>1</v>
      </c>
      <c r="J618" s="2">
        <v>30</v>
      </c>
      <c r="K618" s="2">
        <v>30</v>
      </c>
    </row>
    <row r="619" spans="1:11" x14ac:dyDescent="0.3">
      <c r="A619">
        <v>285</v>
      </c>
      <c r="B619" s="1">
        <v>45153</v>
      </c>
      <c r="C619" s="3">
        <f t="shared" si="18"/>
        <v>2023</v>
      </c>
      <c r="D619" s="3">
        <f t="shared" si="19"/>
        <v>8</v>
      </c>
      <c r="E619" t="s">
        <v>991</v>
      </c>
      <c r="F619" t="s">
        <v>1023</v>
      </c>
      <c r="G619">
        <v>31</v>
      </c>
      <c r="H619" t="s">
        <v>4</v>
      </c>
      <c r="I619" s="3">
        <v>1</v>
      </c>
      <c r="J619" s="2">
        <v>25</v>
      </c>
      <c r="K619" s="2">
        <v>25</v>
      </c>
    </row>
    <row r="620" spans="1:11" x14ac:dyDescent="0.3">
      <c r="A620">
        <v>427</v>
      </c>
      <c r="B620" s="1">
        <v>45153</v>
      </c>
      <c r="C620" s="3">
        <f t="shared" si="18"/>
        <v>2023</v>
      </c>
      <c r="D620" s="3">
        <f t="shared" si="19"/>
        <v>8</v>
      </c>
      <c r="E620" t="s">
        <v>858</v>
      </c>
      <c r="F620" t="s">
        <v>1022</v>
      </c>
      <c r="G620">
        <v>25</v>
      </c>
      <c r="H620" t="s">
        <v>4</v>
      </c>
      <c r="I620" s="3">
        <v>1</v>
      </c>
      <c r="J620" s="2">
        <v>25</v>
      </c>
      <c r="K620" s="2">
        <v>25</v>
      </c>
    </row>
    <row r="621" spans="1:11" x14ac:dyDescent="0.3">
      <c r="A621">
        <v>569</v>
      </c>
      <c r="B621" s="1">
        <v>45153</v>
      </c>
      <c r="C621" s="3">
        <f t="shared" si="18"/>
        <v>2023</v>
      </c>
      <c r="D621" s="3">
        <f t="shared" si="19"/>
        <v>8</v>
      </c>
      <c r="E621" t="s">
        <v>154</v>
      </c>
      <c r="F621" t="s">
        <v>1022</v>
      </c>
      <c r="G621">
        <v>52</v>
      </c>
      <c r="H621" t="s">
        <v>4</v>
      </c>
      <c r="I621" s="3">
        <v>4</v>
      </c>
      <c r="J621" s="2">
        <v>50</v>
      </c>
      <c r="K621" s="2">
        <v>200</v>
      </c>
    </row>
    <row r="622" spans="1:11" x14ac:dyDescent="0.3">
      <c r="A622">
        <v>570</v>
      </c>
      <c r="B622" s="1">
        <v>45153</v>
      </c>
      <c r="C622" s="3">
        <f t="shared" si="18"/>
        <v>2023</v>
      </c>
      <c r="D622" s="3">
        <f t="shared" si="19"/>
        <v>8</v>
      </c>
      <c r="E622" t="s">
        <v>927</v>
      </c>
      <c r="F622" t="s">
        <v>1022</v>
      </c>
      <c r="G622">
        <v>49</v>
      </c>
      <c r="H622" t="s">
        <v>3</v>
      </c>
      <c r="I622" s="3">
        <v>1</v>
      </c>
      <c r="J622" s="2">
        <v>500</v>
      </c>
      <c r="K622" s="2">
        <v>500</v>
      </c>
    </row>
    <row r="623" spans="1:11" x14ac:dyDescent="0.3">
      <c r="A623">
        <v>630</v>
      </c>
      <c r="B623" s="1">
        <v>45153</v>
      </c>
      <c r="C623" s="3">
        <f t="shared" si="18"/>
        <v>2023</v>
      </c>
      <c r="D623" s="3">
        <f t="shared" si="19"/>
        <v>8</v>
      </c>
      <c r="E623" t="s">
        <v>609</v>
      </c>
      <c r="F623" t="s">
        <v>1022</v>
      </c>
      <c r="G623">
        <v>42</v>
      </c>
      <c r="H623" t="s">
        <v>3</v>
      </c>
      <c r="I623" s="3">
        <v>2</v>
      </c>
      <c r="J623" s="2">
        <v>50</v>
      </c>
      <c r="K623" s="2">
        <v>100</v>
      </c>
    </row>
    <row r="624" spans="1:11" x14ac:dyDescent="0.3">
      <c r="A624">
        <v>957</v>
      </c>
      <c r="B624" s="1">
        <v>45153</v>
      </c>
      <c r="C624" s="3">
        <f t="shared" si="18"/>
        <v>2023</v>
      </c>
      <c r="D624" s="3">
        <f t="shared" si="19"/>
        <v>8</v>
      </c>
      <c r="E624" t="s">
        <v>57</v>
      </c>
      <c r="F624" t="s">
        <v>1023</v>
      </c>
      <c r="G624">
        <v>60</v>
      </c>
      <c r="H624" t="s">
        <v>4</v>
      </c>
      <c r="I624" s="3">
        <v>4</v>
      </c>
      <c r="J624" s="2">
        <v>30</v>
      </c>
      <c r="K624" s="2">
        <v>120</v>
      </c>
    </row>
    <row r="625" spans="1:11" x14ac:dyDescent="0.3">
      <c r="A625">
        <v>635</v>
      </c>
      <c r="B625" s="1">
        <v>45155</v>
      </c>
      <c r="C625" s="3">
        <f t="shared" si="18"/>
        <v>2023</v>
      </c>
      <c r="D625" s="3">
        <f t="shared" si="19"/>
        <v>8</v>
      </c>
      <c r="E625" t="s">
        <v>425</v>
      </c>
      <c r="F625" t="s">
        <v>1023</v>
      </c>
      <c r="G625">
        <v>63</v>
      </c>
      <c r="H625" t="s">
        <v>4</v>
      </c>
      <c r="I625" s="3">
        <v>3</v>
      </c>
      <c r="J625" s="2">
        <v>300</v>
      </c>
      <c r="K625" s="2">
        <v>900</v>
      </c>
    </row>
    <row r="626" spans="1:11" x14ac:dyDescent="0.3">
      <c r="A626">
        <v>29</v>
      </c>
      <c r="B626" s="1">
        <v>45156</v>
      </c>
      <c r="C626" s="3">
        <f t="shared" si="18"/>
        <v>2023</v>
      </c>
      <c r="D626" s="3">
        <f t="shared" si="19"/>
        <v>8</v>
      </c>
      <c r="E626" t="s">
        <v>1009</v>
      </c>
      <c r="F626" t="s">
        <v>1023</v>
      </c>
      <c r="G626">
        <v>42</v>
      </c>
      <c r="H626" t="s">
        <v>4</v>
      </c>
      <c r="I626" s="3">
        <v>1</v>
      </c>
      <c r="J626" s="2">
        <v>30</v>
      </c>
      <c r="K626" s="2">
        <v>30</v>
      </c>
    </row>
    <row r="627" spans="1:11" x14ac:dyDescent="0.3">
      <c r="A627">
        <v>277</v>
      </c>
      <c r="B627" s="1">
        <v>45156</v>
      </c>
      <c r="C627" s="3">
        <f t="shared" si="18"/>
        <v>2023</v>
      </c>
      <c r="D627" s="3">
        <f t="shared" si="19"/>
        <v>8</v>
      </c>
      <c r="E627" t="s">
        <v>227</v>
      </c>
      <c r="F627" t="s">
        <v>1022</v>
      </c>
      <c r="G627">
        <v>36</v>
      </c>
      <c r="H627" t="s">
        <v>3</v>
      </c>
      <c r="I627" s="3">
        <v>4</v>
      </c>
      <c r="J627" s="2">
        <v>25</v>
      </c>
      <c r="K627" s="2">
        <v>100</v>
      </c>
    </row>
    <row r="628" spans="1:11" x14ac:dyDescent="0.3">
      <c r="A628">
        <v>859</v>
      </c>
      <c r="B628" s="1">
        <v>45156</v>
      </c>
      <c r="C628" s="3">
        <f t="shared" si="18"/>
        <v>2023</v>
      </c>
      <c r="D628" s="3">
        <f t="shared" si="19"/>
        <v>8</v>
      </c>
      <c r="E628" t="s">
        <v>364</v>
      </c>
      <c r="F628" t="s">
        <v>1023</v>
      </c>
      <c r="G628">
        <v>56</v>
      </c>
      <c r="H628" t="s">
        <v>4</v>
      </c>
      <c r="I628" s="3">
        <v>3</v>
      </c>
      <c r="J628" s="2">
        <v>500</v>
      </c>
      <c r="K628" s="2">
        <v>1500</v>
      </c>
    </row>
    <row r="629" spans="1:11" x14ac:dyDescent="0.3">
      <c r="A629">
        <v>638</v>
      </c>
      <c r="B629" s="1">
        <v>45157</v>
      </c>
      <c r="C629" s="3">
        <f t="shared" si="18"/>
        <v>2023</v>
      </c>
      <c r="D629" s="3">
        <f t="shared" si="19"/>
        <v>8</v>
      </c>
      <c r="E629" t="s">
        <v>902</v>
      </c>
      <c r="F629" t="s">
        <v>1022</v>
      </c>
      <c r="G629">
        <v>46</v>
      </c>
      <c r="H629" t="s">
        <v>4</v>
      </c>
      <c r="I629" s="3">
        <v>1</v>
      </c>
      <c r="J629" s="2">
        <v>500</v>
      </c>
      <c r="K629" s="2">
        <v>500</v>
      </c>
    </row>
    <row r="630" spans="1:11" x14ac:dyDescent="0.3">
      <c r="A630">
        <v>823</v>
      </c>
      <c r="B630" s="1">
        <v>45157</v>
      </c>
      <c r="C630" s="3">
        <f t="shared" si="18"/>
        <v>2023</v>
      </c>
      <c r="D630" s="3">
        <f t="shared" si="19"/>
        <v>8</v>
      </c>
      <c r="E630" t="s">
        <v>585</v>
      </c>
      <c r="F630" t="s">
        <v>1023</v>
      </c>
      <c r="G630">
        <v>56</v>
      </c>
      <c r="H630" t="s">
        <v>4</v>
      </c>
      <c r="I630" s="3">
        <v>2</v>
      </c>
      <c r="J630" s="2">
        <v>50</v>
      </c>
      <c r="K630" s="2">
        <v>100</v>
      </c>
    </row>
    <row r="631" spans="1:11" x14ac:dyDescent="0.3">
      <c r="A631">
        <v>956</v>
      </c>
      <c r="B631" s="1">
        <v>45157</v>
      </c>
      <c r="C631" s="3">
        <f t="shared" si="18"/>
        <v>2023</v>
      </c>
      <c r="D631" s="3">
        <f t="shared" si="19"/>
        <v>8</v>
      </c>
      <c r="E631" t="s">
        <v>351</v>
      </c>
      <c r="F631" t="s">
        <v>1022</v>
      </c>
      <c r="G631">
        <v>30</v>
      </c>
      <c r="H631" t="s">
        <v>3</v>
      </c>
      <c r="I631" s="3">
        <v>3</v>
      </c>
      <c r="J631" s="2">
        <v>500</v>
      </c>
      <c r="K631" s="2">
        <v>1500</v>
      </c>
    </row>
    <row r="632" spans="1:11" x14ac:dyDescent="0.3">
      <c r="A632">
        <v>981</v>
      </c>
      <c r="B632" s="1">
        <v>45157</v>
      </c>
      <c r="C632" s="3">
        <f t="shared" si="18"/>
        <v>2023</v>
      </c>
      <c r="D632" s="3">
        <f t="shared" si="19"/>
        <v>8</v>
      </c>
      <c r="E632" t="s">
        <v>587</v>
      </c>
      <c r="F632" t="s">
        <v>1023</v>
      </c>
      <c r="G632">
        <v>30</v>
      </c>
      <c r="H632" t="s">
        <v>4</v>
      </c>
      <c r="I632" s="3">
        <v>2</v>
      </c>
      <c r="J632" s="2">
        <v>30</v>
      </c>
      <c r="K632" s="2">
        <v>60</v>
      </c>
    </row>
    <row r="633" spans="1:11" x14ac:dyDescent="0.3">
      <c r="A633">
        <v>219</v>
      </c>
      <c r="B633" s="1">
        <v>45158</v>
      </c>
      <c r="C633" s="3">
        <f t="shared" si="18"/>
        <v>2023</v>
      </c>
      <c r="D633" s="3">
        <f t="shared" si="19"/>
        <v>8</v>
      </c>
      <c r="E633" t="s">
        <v>445</v>
      </c>
      <c r="F633" t="s">
        <v>1023</v>
      </c>
      <c r="G633">
        <v>53</v>
      </c>
      <c r="H633" t="s">
        <v>4</v>
      </c>
      <c r="I633" s="3">
        <v>3</v>
      </c>
      <c r="J633" s="2">
        <v>30</v>
      </c>
      <c r="K633" s="2">
        <v>90</v>
      </c>
    </row>
    <row r="634" spans="1:11" x14ac:dyDescent="0.3">
      <c r="A634">
        <v>73</v>
      </c>
      <c r="B634" s="1">
        <v>45159</v>
      </c>
      <c r="C634" s="3">
        <f t="shared" si="18"/>
        <v>2023</v>
      </c>
      <c r="D634" s="3">
        <f t="shared" si="19"/>
        <v>8</v>
      </c>
      <c r="E634" t="s">
        <v>504</v>
      </c>
      <c r="F634" t="s">
        <v>1022</v>
      </c>
      <c r="G634">
        <v>29</v>
      </c>
      <c r="H634" t="s">
        <v>4</v>
      </c>
      <c r="I634" s="3">
        <v>3</v>
      </c>
      <c r="J634" s="2">
        <v>30</v>
      </c>
      <c r="K634" s="2">
        <v>90</v>
      </c>
    </row>
    <row r="635" spans="1:11" x14ac:dyDescent="0.3">
      <c r="A635">
        <v>162</v>
      </c>
      <c r="B635" s="1">
        <v>45159</v>
      </c>
      <c r="C635" s="3">
        <f t="shared" si="18"/>
        <v>2023</v>
      </c>
      <c r="D635" s="3">
        <f t="shared" si="19"/>
        <v>8</v>
      </c>
      <c r="E635" t="s">
        <v>751</v>
      </c>
      <c r="F635" t="s">
        <v>1022</v>
      </c>
      <c r="G635">
        <v>39</v>
      </c>
      <c r="H635" t="s">
        <v>3</v>
      </c>
      <c r="I635" s="3">
        <v>2</v>
      </c>
      <c r="J635" s="2">
        <v>30</v>
      </c>
      <c r="K635" s="2">
        <v>60</v>
      </c>
    </row>
    <row r="636" spans="1:11" x14ac:dyDescent="0.3">
      <c r="A636">
        <v>306</v>
      </c>
      <c r="B636" s="1">
        <v>45159</v>
      </c>
      <c r="C636" s="3">
        <f t="shared" si="18"/>
        <v>2023</v>
      </c>
      <c r="D636" s="3">
        <f t="shared" si="19"/>
        <v>8</v>
      </c>
      <c r="E636" t="s">
        <v>956</v>
      </c>
      <c r="F636" t="s">
        <v>1022</v>
      </c>
      <c r="G636">
        <v>54</v>
      </c>
      <c r="H636" t="s">
        <v>4</v>
      </c>
      <c r="I636" s="3">
        <v>1</v>
      </c>
      <c r="J636" s="2">
        <v>50</v>
      </c>
      <c r="K636" s="2">
        <v>50</v>
      </c>
    </row>
    <row r="637" spans="1:11" x14ac:dyDescent="0.3">
      <c r="A637">
        <v>725</v>
      </c>
      <c r="B637" s="1">
        <v>45159</v>
      </c>
      <c r="C637" s="3">
        <f t="shared" si="18"/>
        <v>2023</v>
      </c>
      <c r="D637" s="3">
        <f t="shared" si="19"/>
        <v>8</v>
      </c>
      <c r="E637" t="s">
        <v>815</v>
      </c>
      <c r="F637" t="s">
        <v>1022</v>
      </c>
      <c r="G637">
        <v>61</v>
      </c>
      <c r="H637" t="s">
        <v>4</v>
      </c>
      <c r="I637" s="3">
        <v>1</v>
      </c>
      <c r="J637" s="2">
        <v>300</v>
      </c>
      <c r="K637" s="2">
        <v>300</v>
      </c>
    </row>
    <row r="638" spans="1:11" x14ac:dyDescent="0.3">
      <c r="A638">
        <v>880</v>
      </c>
      <c r="B638" s="1">
        <v>45159</v>
      </c>
      <c r="C638" s="3">
        <f t="shared" si="18"/>
        <v>2023</v>
      </c>
      <c r="D638" s="3">
        <f t="shared" si="19"/>
        <v>8</v>
      </c>
      <c r="E638" t="s">
        <v>562</v>
      </c>
      <c r="F638" t="s">
        <v>1022</v>
      </c>
      <c r="G638">
        <v>22</v>
      </c>
      <c r="H638" t="s">
        <v>2</v>
      </c>
      <c r="I638" s="3">
        <v>2</v>
      </c>
      <c r="J638" s="2">
        <v>500</v>
      </c>
      <c r="K638" s="2">
        <v>1000</v>
      </c>
    </row>
    <row r="639" spans="1:11" x14ac:dyDescent="0.3">
      <c r="A639">
        <v>992</v>
      </c>
      <c r="B639" s="1">
        <v>45159</v>
      </c>
      <c r="C639" s="3">
        <f t="shared" si="18"/>
        <v>2023</v>
      </c>
      <c r="D639" s="3">
        <f t="shared" si="19"/>
        <v>8</v>
      </c>
      <c r="E639" t="s">
        <v>529</v>
      </c>
      <c r="F639" t="s">
        <v>1023</v>
      </c>
      <c r="G639">
        <v>57</v>
      </c>
      <c r="H639" t="s">
        <v>4</v>
      </c>
      <c r="I639" s="3">
        <v>2</v>
      </c>
      <c r="J639" s="2">
        <v>30</v>
      </c>
      <c r="K639" s="2">
        <v>60</v>
      </c>
    </row>
    <row r="640" spans="1:11" x14ac:dyDescent="0.3">
      <c r="A640">
        <v>597</v>
      </c>
      <c r="B640" s="1">
        <v>45160</v>
      </c>
      <c r="C640" s="3">
        <f t="shared" si="18"/>
        <v>2023</v>
      </c>
      <c r="D640" s="3">
        <f t="shared" si="19"/>
        <v>8</v>
      </c>
      <c r="E640" t="s">
        <v>164</v>
      </c>
      <c r="F640" t="s">
        <v>1022</v>
      </c>
      <c r="G640">
        <v>22</v>
      </c>
      <c r="H640" t="s">
        <v>2</v>
      </c>
      <c r="I640" s="3">
        <v>4</v>
      </c>
      <c r="J640" s="2">
        <v>300</v>
      </c>
      <c r="K640" s="2">
        <v>1200</v>
      </c>
    </row>
    <row r="641" spans="1:11" x14ac:dyDescent="0.3">
      <c r="A641">
        <v>622</v>
      </c>
      <c r="B641" s="1">
        <v>45160</v>
      </c>
      <c r="C641" s="3">
        <f t="shared" si="18"/>
        <v>2023</v>
      </c>
      <c r="D641" s="3">
        <f t="shared" si="19"/>
        <v>8</v>
      </c>
      <c r="E641" t="s">
        <v>391</v>
      </c>
      <c r="F641" t="s">
        <v>1023</v>
      </c>
      <c r="G641">
        <v>49</v>
      </c>
      <c r="H641" t="s">
        <v>2</v>
      </c>
      <c r="I641" s="3">
        <v>3</v>
      </c>
      <c r="J641" s="2">
        <v>25</v>
      </c>
      <c r="K641" s="2">
        <v>75</v>
      </c>
    </row>
    <row r="642" spans="1:11" x14ac:dyDescent="0.3">
      <c r="A642">
        <v>116</v>
      </c>
      <c r="B642" s="1">
        <v>45161</v>
      </c>
      <c r="C642" s="3">
        <f t="shared" ref="C642:C705" si="20">YEAR(B642)</f>
        <v>2023</v>
      </c>
      <c r="D642" s="3">
        <f t="shared" ref="D642:D705" si="21">MONTH(B642)</f>
        <v>8</v>
      </c>
      <c r="E642" t="s">
        <v>944</v>
      </c>
      <c r="F642" t="s">
        <v>1023</v>
      </c>
      <c r="G642">
        <v>23</v>
      </c>
      <c r="H642" t="s">
        <v>3</v>
      </c>
      <c r="I642" s="3">
        <v>1</v>
      </c>
      <c r="J642" s="2">
        <v>30</v>
      </c>
      <c r="K642" s="2">
        <v>30</v>
      </c>
    </row>
    <row r="643" spans="1:11" x14ac:dyDescent="0.3">
      <c r="A643">
        <v>364</v>
      </c>
      <c r="B643" s="1">
        <v>45161</v>
      </c>
      <c r="C643" s="3">
        <f t="shared" si="20"/>
        <v>2023</v>
      </c>
      <c r="D643" s="3">
        <f t="shared" si="21"/>
        <v>8</v>
      </c>
      <c r="E643" t="s">
        <v>919</v>
      </c>
      <c r="F643" t="s">
        <v>1023</v>
      </c>
      <c r="G643">
        <v>19</v>
      </c>
      <c r="H643" t="s">
        <v>2</v>
      </c>
      <c r="I643" s="3">
        <v>1</v>
      </c>
      <c r="J643" s="2">
        <v>500</v>
      </c>
      <c r="K643" s="2">
        <v>500</v>
      </c>
    </row>
    <row r="644" spans="1:11" x14ac:dyDescent="0.3">
      <c r="A644">
        <v>368</v>
      </c>
      <c r="B644" s="1">
        <v>45161</v>
      </c>
      <c r="C644" s="3">
        <f t="shared" si="20"/>
        <v>2023</v>
      </c>
      <c r="D644" s="3">
        <f t="shared" si="21"/>
        <v>8</v>
      </c>
      <c r="E644" t="s">
        <v>144</v>
      </c>
      <c r="F644" t="s">
        <v>1023</v>
      </c>
      <c r="G644">
        <v>56</v>
      </c>
      <c r="H644" t="s">
        <v>3</v>
      </c>
      <c r="I644" s="3">
        <v>4</v>
      </c>
      <c r="J644" s="2">
        <v>300</v>
      </c>
      <c r="K644" s="2">
        <v>1200</v>
      </c>
    </row>
    <row r="645" spans="1:11" x14ac:dyDescent="0.3">
      <c r="A645">
        <v>50</v>
      </c>
      <c r="B645" s="1">
        <v>45162</v>
      </c>
      <c r="C645" s="3">
        <f t="shared" si="20"/>
        <v>2023</v>
      </c>
      <c r="D645" s="3">
        <f t="shared" si="21"/>
        <v>8</v>
      </c>
      <c r="E645" t="s">
        <v>503</v>
      </c>
      <c r="F645" t="s">
        <v>1023</v>
      </c>
      <c r="G645">
        <v>27</v>
      </c>
      <c r="H645" t="s">
        <v>2</v>
      </c>
      <c r="I645" s="3">
        <v>3</v>
      </c>
      <c r="J645" s="2">
        <v>25</v>
      </c>
      <c r="K645" s="2">
        <v>75</v>
      </c>
    </row>
    <row r="646" spans="1:11" x14ac:dyDescent="0.3">
      <c r="A646">
        <v>479</v>
      </c>
      <c r="B646" s="1">
        <v>45162</v>
      </c>
      <c r="C646" s="3">
        <f t="shared" si="20"/>
        <v>2023</v>
      </c>
      <c r="D646" s="3">
        <f t="shared" si="21"/>
        <v>8</v>
      </c>
      <c r="E646" t="s">
        <v>155</v>
      </c>
      <c r="F646" t="s">
        <v>1022</v>
      </c>
      <c r="G646">
        <v>52</v>
      </c>
      <c r="H646" t="s">
        <v>4</v>
      </c>
      <c r="I646" s="3">
        <v>4</v>
      </c>
      <c r="J646" s="2">
        <v>300</v>
      </c>
      <c r="K646" s="2">
        <v>1200</v>
      </c>
    </row>
    <row r="647" spans="1:11" x14ac:dyDescent="0.3">
      <c r="A647">
        <v>804</v>
      </c>
      <c r="B647" s="1">
        <v>45162</v>
      </c>
      <c r="C647" s="3">
        <f t="shared" si="20"/>
        <v>2023</v>
      </c>
      <c r="D647" s="3">
        <f t="shared" si="21"/>
        <v>8</v>
      </c>
      <c r="E647" t="s">
        <v>780</v>
      </c>
      <c r="F647" t="s">
        <v>1022</v>
      </c>
      <c r="G647">
        <v>42</v>
      </c>
      <c r="H647" t="s">
        <v>4</v>
      </c>
      <c r="I647" s="3">
        <v>1</v>
      </c>
      <c r="J647" s="2">
        <v>30</v>
      </c>
      <c r="K647" s="2">
        <v>30</v>
      </c>
    </row>
    <row r="648" spans="1:11" x14ac:dyDescent="0.3">
      <c r="A648">
        <v>92</v>
      </c>
      <c r="B648" s="1">
        <v>45163</v>
      </c>
      <c r="C648" s="3">
        <f t="shared" si="20"/>
        <v>2023</v>
      </c>
      <c r="D648" s="3">
        <f t="shared" si="21"/>
        <v>8</v>
      </c>
      <c r="E648" t="s">
        <v>242</v>
      </c>
      <c r="F648" t="s">
        <v>1023</v>
      </c>
      <c r="G648">
        <v>51</v>
      </c>
      <c r="H648" t="s">
        <v>4</v>
      </c>
      <c r="I648" s="3">
        <v>4</v>
      </c>
      <c r="J648" s="2">
        <v>30</v>
      </c>
      <c r="K648" s="2">
        <v>120</v>
      </c>
    </row>
    <row r="649" spans="1:11" x14ac:dyDescent="0.3">
      <c r="A649">
        <v>282</v>
      </c>
      <c r="B649" s="1">
        <v>45163</v>
      </c>
      <c r="C649" s="3">
        <f t="shared" si="20"/>
        <v>2023</v>
      </c>
      <c r="D649" s="3">
        <f t="shared" si="21"/>
        <v>8</v>
      </c>
      <c r="E649" t="s">
        <v>265</v>
      </c>
      <c r="F649" t="s">
        <v>1023</v>
      </c>
      <c r="G649">
        <v>64</v>
      </c>
      <c r="H649" t="s">
        <v>4</v>
      </c>
      <c r="I649" s="3">
        <v>4</v>
      </c>
      <c r="J649" s="2">
        <v>50</v>
      </c>
      <c r="K649" s="2">
        <v>200</v>
      </c>
    </row>
    <row r="650" spans="1:11" x14ac:dyDescent="0.3">
      <c r="A650">
        <v>718</v>
      </c>
      <c r="B650" s="1">
        <v>45163</v>
      </c>
      <c r="C650" s="3">
        <f t="shared" si="20"/>
        <v>2023</v>
      </c>
      <c r="D650" s="3">
        <f t="shared" si="21"/>
        <v>8</v>
      </c>
      <c r="E650" t="s">
        <v>362</v>
      </c>
      <c r="F650" t="s">
        <v>1023</v>
      </c>
      <c r="G650">
        <v>59</v>
      </c>
      <c r="H650" t="s">
        <v>2</v>
      </c>
      <c r="I650" s="3">
        <v>3</v>
      </c>
      <c r="J650" s="2">
        <v>25</v>
      </c>
      <c r="K650" s="2">
        <v>75</v>
      </c>
    </row>
    <row r="651" spans="1:11" x14ac:dyDescent="0.3">
      <c r="A651">
        <v>617</v>
      </c>
      <c r="B651" s="1">
        <v>45164</v>
      </c>
      <c r="C651" s="3">
        <f t="shared" si="20"/>
        <v>2023</v>
      </c>
      <c r="D651" s="3">
        <f t="shared" si="21"/>
        <v>8</v>
      </c>
      <c r="E651" t="s">
        <v>909</v>
      </c>
      <c r="F651" t="s">
        <v>1022</v>
      </c>
      <c r="G651">
        <v>34</v>
      </c>
      <c r="H651" t="s">
        <v>4</v>
      </c>
      <c r="I651" s="3">
        <v>1</v>
      </c>
      <c r="J651" s="2">
        <v>30</v>
      </c>
      <c r="K651" s="2">
        <v>30</v>
      </c>
    </row>
    <row r="652" spans="1:11" x14ac:dyDescent="0.3">
      <c r="A652">
        <v>624</v>
      </c>
      <c r="B652" s="1">
        <v>45164</v>
      </c>
      <c r="C652" s="3">
        <f t="shared" si="20"/>
        <v>2023</v>
      </c>
      <c r="D652" s="3">
        <f t="shared" si="21"/>
        <v>8</v>
      </c>
      <c r="E652" t="s">
        <v>371</v>
      </c>
      <c r="F652" t="s">
        <v>1023</v>
      </c>
      <c r="G652">
        <v>34</v>
      </c>
      <c r="H652" t="s">
        <v>2</v>
      </c>
      <c r="I652" s="3">
        <v>3</v>
      </c>
      <c r="J652" s="2">
        <v>300</v>
      </c>
      <c r="K652" s="2">
        <v>900</v>
      </c>
    </row>
    <row r="653" spans="1:11" x14ac:dyDescent="0.3">
      <c r="A653">
        <v>825</v>
      </c>
      <c r="B653" s="1">
        <v>45164</v>
      </c>
      <c r="C653" s="3">
        <f t="shared" si="20"/>
        <v>2023</v>
      </c>
      <c r="D653" s="3">
        <f t="shared" si="21"/>
        <v>8</v>
      </c>
      <c r="E653" t="s">
        <v>799</v>
      </c>
      <c r="F653" t="s">
        <v>1023</v>
      </c>
      <c r="G653">
        <v>46</v>
      </c>
      <c r="H653" t="s">
        <v>2</v>
      </c>
      <c r="I653" s="3">
        <v>1</v>
      </c>
      <c r="J653" s="2">
        <v>25</v>
      </c>
      <c r="K653" s="2">
        <v>25</v>
      </c>
    </row>
    <row r="654" spans="1:11" x14ac:dyDescent="0.3">
      <c r="A654">
        <v>568</v>
      </c>
      <c r="B654" s="1">
        <v>45165</v>
      </c>
      <c r="C654" s="3">
        <f t="shared" si="20"/>
        <v>2023</v>
      </c>
      <c r="D654" s="3">
        <f t="shared" si="21"/>
        <v>8</v>
      </c>
      <c r="E654" t="s">
        <v>921</v>
      </c>
      <c r="F654" t="s">
        <v>1023</v>
      </c>
      <c r="G654">
        <v>51</v>
      </c>
      <c r="H654" t="s">
        <v>4</v>
      </c>
      <c r="I654" s="3">
        <v>1</v>
      </c>
      <c r="J654" s="2">
        <v>300</v>
      </c>
      <c r="K654" s="2">
        <v>300</v>
      </c>
    </row>
    <row r="655" spans="1:11" x14ac:dyDescent="0.3">
      <c r="A655">
        <v>671</v>
      </c>
      <c r="B655" s="1">
        <v>45165</v>
      </c>
      <c r="C655" s="3">
        <f t="shared" si="20"/>
        <v>2023</v>
      </c>
      <c r="D655" s="3">
        <f t="shared" si="21"/>
        <v>8</v>
      </c>
      <c r="E655" t="s">
        <v>285</v>
      </c>
      <c r="F655" t="s">
        <v>1022</v>
      </c>
      <c r="G655">
        <v>62</v>
      </c>
      <c r="H655" t="s">
        <v>4</v>
      </c>
      <c r="I655" s="3">
        <v>3</v>
      </c>
      <c r="J655" s="2">
        <v>50</v>
      </c>
      <c r="K655" s="2">
        <v>150</v>
      </c>
    </row>
    <row r="656" spans="1:11" x14ac:dyDescent="0.3">
      <c r="A656">
        <v>756</v>
      </c>
      <c r="B656" s="1">
        <v>45165</v>
      </c>
      <c r="C656" s="3">
        <f t="shared" si="20"/>
        <v>2023</v>
      </c>
      <c r="D656" s="3">
        <f t="shared" si="21"/>
        <v>8</v>
      </c>
      <c r="E656" t="s">
        <v>68</v>
      </c>
      <c r="F656" t="s">
        <v>1023</v>
      </c>
      <c r="G656">
        <v>62</v>
      </c>
      <c r="H656" t="s">
        <v>4</v>
      </c>
      <c r="I656" s="3">
        <v>4</v>
      </c>
      <c r="J656" s="2">
        <v>300</v>
      </c>
      <c r="K656" s="2">
        <v>1200</v>
      </c>
    </row>
    <row r="657" spans="1:11" x14ac:dyDescent="0.3">
      <c r="A657">
        <v>815</v>
      </c>
      <c r="B657" s="1">
        <v>45165</v>
      </c>
      <c r="C657" s="3">
        <f t="shared" si="20"/>
        <v>2023</v>
      </c>
      <c r="D657" s="3">
        <f t="shared" si="21"/>
        <v>8</v>
      </c>
      <c r="E657" t="s">
        <v>330</v>
      </c>
      <c r="F657" t="s">
        <v>1023</v>
      </c>
      <c r="G657">
        <v>51</v>
      </c>
      <c r="H657" t="s">
        <v>3</v>
      </c>
      <c r="I657" s="3">
        <v>3</v>
      </c>
      <c r="J657" s="2">
        <v>25</v>
      </c>
      <c r="K657" s="2">
        <v>75</v>
      </c>
    </row>
    <row r="658" spans="1:11" x14ac:dyDescent="0.3">
      <c r="A658">
        <v>146</v>
      </c>
      <c r="B658" s="1">
        <v>45166</v>
      </c>
      <c r="C658" s="3">
        <f t="shared" si="20"/>
        <v>2023</v>
      </c>
      <c r="D658" s="3">
        <f t="shared" si="21"/>
        <v>8</v>
      </c>
      <c r="E658" t="s">
        <v>272</v>
      </c>
      <c r="F658" t="s">
        <v>1022</v>
      </c>
      <c r="G658">
        <v>38</v>
      </c>
      <c r="H658" t="s">
        <v>3</v>
      </c>
      <c r="I658" s="3">
        <v>4</v>
      </c>
      <c r="J658" s="2">
        <v>50</v>
      </c>
      <c r="K658" s="2">
        <v>200</v>
      </c>
    </row>
    <row r="659" spans="1:11" x14ac:dyDescent="0.3">
      <c r="A659">
        <v>263</v>
      </c>
      <c r="B659" s="1">
        <v>45166</v>
      </c>
      <c r="C659" s="3">
        <f t="shared" si="20"/>
        <v>2023</v>
      </c>
      <c r="D659" s="3">
        <f t="shared" si="21"/>
        <v>8</v>
      </c>
      <c r="E659" t="s">
        <v>697</v>
      </c>
      <c r="F659" t="s">
        <v>1022</v>
      </c>
      <c r="G659">
        <v>23</v>
      </c>
      <c r="H659" t="s">
        <v>2</v>
      </c>
      <c r="I659" s="3">
        <v>2</v>
      </c>
      <c r="J659" s="2">
        <v>30</v>
      </c>
      <c r="K659" s="2">
        <v>60</v>
      </c>
    </row>
    <row r="660" spans="1:11" x14ac:dyDescent="0.3">
      <c r="A660">
        <v>704</v>
      </c>
      <c r="B660" s="1">
        <v>45166</v>
      </c>
      <c r="C660" s="3">
        <f t="shared" si="20"/>
        <v>2023</v>
      </c>
      <c r="D660" s="3">
        <f t="shared" si="21"/>
        <v>8</v>
      </c>
      <c r="E660" t="s">
        <v>318</v>
      </c>
      <c r="F660" t="s">
        <v>1023</v>
      </c>
      <c r="G660">
        <v>62</v>
      </c>
      <c r="H660" t="s">
        <v>3</v>
      </c>
      <c r="I660" s="3">
        <v>3</v>
      </c>
      <c r="J660" s="2">
        <v>30</v>
      </c>
      <c r="K660" s="2">
        <v>90</v>
      </c>
    </row>
    <row r="661" spans="1:11" x14ac:dyDescent="0.3">
      <c r="A661">
        <v>476</v>
      </c>
      <c r="B661" s="1">
        <v>45167</v>
      </c>
      <c r="C661" s="3">
        <f t="shared" si="20"/>
        <v>2023</v>
      </c>
      <c r="D661" s="3">
        <f t="shared" si="21"/>
        <v>8</v>
      </c>
      <c r="E661" t="s">
        <v>151</v>
      </c>
      <c r="F661" t="s">
        <v>1023</v>
      </c>
      <c r="G661">
        <v>27</v>
      </c>
      <c r="H661" t="s">
        <v>3</v>
      </c>
      <c r="I661" s="3">
        <v>4</v>
      </c>
      <c r="J661" s="2">
        <v>500</v>
      </c>
      <c r="K661" s="2">
        <v>2000</v>
      </c>
    </row>
    <row r="662" spans="1:11" x14ac:dyDescent="0.3">
      <c r="A662">
        <v>733</v>
      </c>
      <c r="B662" s="1">
        <v>45167</v>
      </c>
      <c r="C662" s="3">
        <f t="shared" si="20"/>
        <v>2023</v>
      </c>
      <c r="D662" s="3">
        <f t="shared" si="21"/>
        <v>8</v>
      </c>
      <c r="E662" t="s">
        <v>810</v>
      </c>
      <c r="F662" t="s">
        <v>1022</v>
      </c>
      <c r="G662">
        <v>34</v>
      </c>
      <c r="H662" t="s">
        <v>2</v>
      </c>
      <c r="I662" s="3">
        <v>1</v>
      </c>
      <c r="J662" s="2">
        <v>30</v>
      </c>
      <c r="K662" s="2">
        <v>30</v>
      </c>
    </row>
    <row r="663" spans="1:11" x14ac:dyDescent="0.3">
      <c r="A663">
        <v>924</v>
      </c>
      <c r="B663" s="1">
        <v>45167</v>
      </c>
      <c r="C663" s="3">
        <f t="shared" si="20"/>
        <v>2023</v>
      </c>
      <c r="D663" s="3">
        <f t="shared" si="21"/>
        <v>8</v>
      </c>
      <c r="E663" t="s">
        <v>561</v>
      </c>
      <c r="F663" t="s">
        <v>1022</v>
      </c>
      <c r="G663">
        <v>55</v>
      </c>
      <c r="H663" t="s">
        <v>2</v>
      </c>
      <c r="I663" s="3">
        <v>2</v>
      </c>
      <c r="J663" s="2">
        <v>50</v>
      </c>
      <c r="K663" s="2">
        <v>100</v>
      </c>
    </row>
    <row r="664" spans="1:11" x14ac:dyDescent="0.3">
      <c r="A664">
        <v>984</v>
      </c>
      <c r="B664" s="1">
        <v>45167</v>
      </c>
      <c r="C664" s="3">
        <f t="shared" si="20"/>
        <v>2023</v>
      </c>
      <c r="D664" s="3">
        <f t="shared" si="21"/>
        <v>8</v>
      </c>
      <c r="E664" t="s">
        <v>765</v>
      </c>
      <c r="F664" t="s">
        <v>1022</v>
      </c>
      <c r="G664">
        <v>56</v>
      </c>
      <c r="H664" t="s">
        <v>3</v>
      </c>
      <c r="I664" s="3">
        <v>1</v>
      </c>
      <c r="J664" s="2">
        <v>500</v>
      </c>
      <c r="K664" s="2">
        <v>500</v>
      </c>
    </row>
    <row r="665" spans="1:11" x14ac:dyDescent="0.3">
      <c r="A665">
        <v>251</v>
      </c>
      <c r="B665" s="1">
        <v>45169</v>
      </c>
      <c r="C665" s="3">
        <f t="shared" si="20"/>
        <v>2023</v>
      </c>
      <c r="D665" s="3">
        <f t="shared" si="21"/>
        <v>8</v>
      </c>
      <c r="E665" t="s">
        <v>223</v>
      </c>
      <c r="F665" t="s">
        <v>1023</v>
      </c>
      <c r="G665">
        <v>57</v>
      </c>
      <c r="H665" t="s">
        <v>2</v>
      </c>
      <c r="I665" s="3">
        <v>4</v>
      </c>
      <c r="J665" s="2">
        <v>50</v>
      </c>
      <c r="K665" s="2">
        <v>200</v>
      </c>
    </row>
    <row r="666" spans="1:11" x14ac:dyDescent="0.3">
      <c r="A666">
        <v>253</v>
      </c>
      <c r="B666" s="1">
        <v>45169</v>
      </c>
      <c r="C666" s="3">
        <f t="shared" si="20"/>
        <v>2023</v>
      </c>
      <c r="D666" s="3">
        <f t="shared" si="21"/>
        <v>8</v>
      </c>
      <c r="E666" t="s">
        <v>255</v>
      </c>
      <c r="F666" t="s">
        <v>1023</v>
      </c>
      <c r="G666">
        <v>53</v>
      </c>
      <c r="H666" t="s">
        <v>3</v>
      </c>
      <c r="I666" s="3">
        <v>4</v>
      </c>
      <c r="J666" s="2">
        <v>500</v>
      </c>
      <c r="K666" s="2">
        <v>2000</v>
      </c>
    </row>
    <row r="667" spans="1:11" x14ac:dyDescent="0.3">
      <c r="A667">
        <v>574</v>
      </c>
      <c r="B667" s="1">
        <v>45169</v>
      </c>
      <c r="C667" s="3">
        <f t="shared" si="20"/>
        <v>2023</v>
      </c>
      <c r="D667" s="3">
        <f t="shared" si="21"/>
        <v>8</v>
      </c>
      <c r="E667" t="s">
        <v>658</v>
      </c>
      <c r="F667" t="s">
        <v>1023</v>
      </c>
      <c r="G667">
        <v>63</v>
      </c>
      <c r="H667" t="s">
        <v>4</v>
      </c>
      <c r="I667" s="3">
        <v>2</v>
      </c>
      <c r="J667" s="2">
        <v>25</v>
      </c>
      <c r="K667" s="2">
        <v>50</v>
      </c>
    </row>
    <row r="668" spans="1:11" x14ac:dyDescent="0.3">
      <c r="A668">
        <v>751</v>
      </c>
      <c r="B668" s="1">
        <v>45169</v>
      </c>
      <c r="C668" s="3">
        <f t="shared" si="20"/>
        <v>2023</v>
      </c>
      <c r="D668" s="3">
        <f t="shared" si="21"/>
        <v>8</v>
      </c>
      <c r="E668" t="s">
        <v>592</v>
      </c>
      <c r="F668" t="s">
        <v>1023</v>
      </c>
      <c r="G668">
        <v>42</v>
      </c>
      <c r="H668" t="s">
        <v>3</v>
      </c>
      <c r="I668" s="3">
        <v>2</v>
      </c>
      <c r="J668" s="2">
        <v>25</v>
      </c>
      <c r="K668" s="2">
        <v>50</v>
      </c>
    </row>
    <row r="669" spans="1:11" x14ac:dyDescent="0.3">
      <c r="A669">
        <v>871</v>
      </c>
      <c r="B669" s="1">
        <v>45169</v>
      </c>
      <c r="C669" s="3">
        <f t="shared" si="20"/>
        <v>2023</v>
      </c>
      <c r="D669" s="3">
        <f t="shared" si="21"/>
        <v>8</v>
      </c>
      <c r="E669" t="s">
        <v>560</v>
      </c>
      <c r="F669" t="s">
        <v>1022</v>
      </c>
      <c r="G669">
        <v>62</v>
      </c>
      <c r="H669" t="s">
        <v>2</v>
      </c>
      <c r="I669" s="3">
        <v>2</v>
      </c>
      <c r="J669" s="2">
        <v>30</v>
      </c>
      <c r="K669" s="2">
        <v>60</v>
      </c>
    </row>
    <row r="670" spans="1:11" x14ac:dyDescent="0.3">
      <c r="A670">
        <v>200</v>
      </c>
      <c r="B670" s="1">
        <v>45170</v>
      </c>
      <c r="C670" s="3">
        <f t="shared" si="20"/>
        <v>2023</v>
      </c>
      <c r="D670" s="3">
        <f t="shared" si="21"/>
        <v>9</v>
      </c>
      <c r="E670" t="s">
        <v>446</v>
      </c>
      <c r="F670" t="s">
        <v>1022</v>
      </c>
      <c r="G670">
        <v>27</v>
      </c>
      <c r="H670" t="s">
        <v>2</v>
      </c>
      <c r="I670" s="3">
        <v>3</v>
      </c>
      <c r="J670" s="2">
        <v>50</v>
      </c>
      <c r="K670" s="2">
        <v>150</v>
      </c>
    </row>
    <row r="671" spans="1:11" x14ac:dyDescent="0.3">
      <c r="A671">
        <v>594</v>
      </c>
      <c r="B671" s="1">
        <v>45170</v>
      </c>
      <c r="C671" s="3">
        <f t="shared" si="20"/>
        <v>2023</v>
      </c>
      <c r="D671" s="3">
        <f t="shared" si="21"/>
        <v>9</v>
      </c>
      <c r="E671" t="s">
        <v>637</v>
      </c>
      <c r="F671" t="s">
        <v>1023</v>
      </c>
      <c r="G671">
        <v>19</v>
      </c>
      <c r="H671" t="s">
        <v>4</v>
      </c>
      <c r="I671" s="3">
        <v>2</v>
      </c>
      <c r="J671" s="2">
        <v>300</v>
      </c>
      <c r="K671" s="2">
        <v>600</v>
      </c>
    </row>
    <row r="672" spans="1:11" x14ac:dyDescent="0.3">
      <c r="A672">
        <v>637</v>
      </c>
      <c r="B672" s="1">
        <v>45170</v>
      </c>
      <c r="C672" s="3">
        <f t="shared" si="20"/>
        <v>2023</v>
      </c>
      <c r="D672" s="3">
        <f t="shared" si="21"/>
        <v>9</v>
      </c>
      <c r="E672" t="s">
        <v>659</v>
      </c>
      <c r="F672" t="s">
        <v>1022</v>
      </c>
      <c r="G672">
        <v>43</v>
      </c>
      <c r="H672" t="s">
        <v>3</v>
      </c>
      <c r="I672" s="3">
        <v>2</v>
      </c>
      <c r="J672" s="2">
        <v>300</v>
      </c>
      <c r="K672" s="2">
        <v>600</v>
      </c>
    </row>
    <row r="673" spans="1:11" x14ac:dyDescent="0.3">
      <c r="A673">
        <v>855</v>
      </c>
      <c r="B673" s="1">
        <v>45170</v>
      </c>
      <c r="C673" s="3">
        <f t="shared" si="20"/>
        <v>2023</v>
      </c>
      <c r="D673" s="3">
        <f t="shared" si="21"/>
        <v>9</v>
      </c>
      <c r="E673" t="s">
        <v>763</v>
      </c>
      <c r="F673" t="s">
        <v>1022</v>
      </c>
      <c r="G673">
        <v>54</v>
      </c>
      <c r="H673" t="s">
        <v>2</v>
      </c>
      <c r="I673" s="3">
        <v>1</v>
      </c>
      <c r="J673" s="2">
        <v>25</v>
      </c>
      <c r="K673" s="2">
        <v>25</v>
      </c>
    </row>
    <row r="674" spans="1:11" x14ac:dyDescent="0.3">
      <c r="A674">
        <v>325</v>
      </c>
      <c r="B674" s="1">
        <v>45171</v>
      </c>
      <c r="C674" s="3">
        <f t="shared" si="20"/>
        <v>2023</v>
      </c>
      <c r="D674" s="3">
        <f t="shared" si="21"/>
        <v>9</v>
      </c>
      <c r="E674" t="s">
        <v>755</v>
      </c>
      <c r="F674" t="s">
        <v>1023</v>
      </c>
      <c r="G674">
        <v>52</v>
      </c>
      <c r="H674" t="s">
        <v>4</v>
      </c>
      <c r="I674" s="3">
        <v>2</v>
      </c>
      <c r="J674" s="2">
        <v>25</v>
      </c>
      <c r="K674" s="2">
        <v>50</v>
      </c>
    </row>
    <row r="675" spans="1:11" x14ac:dyDescent="0.3">
      <c r="A675">
        <v>682</v>
      </c>
      <c r="B675" s="1">
        <v>45171</v>
      </c>
      <c r="C675" s="3">
        <f t="shared" si="20"/>
        <v>2023</v>
      </c>
      <c r="D675" s="3">
        <f t="shared" si="21"/>
        <v>9</v>
      </c>
      <c r="E675" t="s">
        <v>27</v>
      </c>
      <c r="F675" t="s">
        <v>1022</v>
      </c>
      <c r="G675">
        <v>46</v>
      </c>
      <c r="H675" t="s">
        <v>2</v>
      </c>
      <c r="I675" s="3">
        <v>4</v>
      </c>
      <c r="J675" s="2">
        <v>300</v>
      </c>
      <c r="K675" s="2">
        <v>1200</v>
      </c>
    </row>
    <row r="676" spans="1:11" x14ac:dyDescent="0.3">
      <c r="A676">
        <v>931</v>
      </c>
      <c r="B676" s="1">
        <v>45171</v>
      </c>
      <c r="C676" s="3">
        <f t="shared" si="20"/>
        <v>2023</v>
      </c>
      <c r="D676" s="3">
        <f t="shared" si="21"/>
        <v>9</v>
      </c>
      <c r="E676" t="s">
        <v>37</v>
      </c>
      <c r="F676" t="s">
        <v>1022</v>
      </c>
      <c r="G676">
        <v>30</v>
      </c>
      <c r="H676" t="s">
        <v>2</v>
      </c>
      <c r="I676" s="3">
        <v>4</v>
      </c>
      <c r="J676" s="2">
        <v>30</v>
      </c>
      <c r="K676" s="2">
        <v>120</v>
      </c>
    </row>
    <row r="677" spans="1:11" x14ac:dyDescent="0.3">
      <c r="A677">
        <v>925</v>
      </c>
      <c r="B677" s="1">
        <v>45172</v>
      </c>
      <c r="C677" s="3">
        <f t="shared" si="20"/>
        <v>2023</v>
      </c>
      <c r="D677" s="3">
        <f t="shared" si="21"/>
        <v>9</v>
      </c>
      <c r="E677" t="s">
        <v>804</v>
      </c>
      <c r="F677" t="s">
        <v>1022</v>
      </c>
      <c r="G677">
        <v>25</v>
      </c>
      <c r="H677" t="s">
        <v>4</v>
      </c>
      <c r="I677" s="3">
        <v>1</v>
      </c>
      <c r="J677" s="2">
        <v>300</v>
      </c>
      <c r="K677" s="2">
        <v>300</v>
      </c>
    </row>
    <row r="678" spans="1:11" x14ac:dyDescent="0.3">
      <c r="A678">
        <v>297</v>
      </c>
      <c r="B678" s="1">
        <v>45173</v>
      </c>
      <c r="C678" s="3">
        <f t="shared" si="20"/>
        <v>2023</v>
      </c>
      <c r="D678" s="3">
        <f t="shared" si="21"/>
        <v>9</v>
      </c>
      <c r="E678" t="s">
        <v>705</v>
      </c>
      <c r="F678" t="s">
        <v>1023</v>
      </c>
      <c r="G678">
        <v>40</v>
      </c>
      <c r="H678" t="s">
        <v>4</v>
      </c>
      <c r="I678" s="3">
        <v>2</v>
      </c>
      <c r="J678" s="2">
        <v>500</v>
      </c>
      <c r="K678" s="2">
        <v>1000</v>
      </c>
    </row>
    <row r="679" spans="1:11" x14ac:dyDescent="0.3">
      <c r="A679">
        <v>814</v>
      </c>
      <c r="B679" s="1">
        <v>45174</v>
      </c>
      <c r="C679" s="3">
        <f t="shared" si="20"/>
        <v>2023</v>
      </c>
      <c r="D679" s="3">
        <f t="shared" si="21"/>
        <v>9</v>
      </c>
      <c r="E679" t="s">
        <v>854</v>
      </c>
      <c r="F679" t="s">
        <v>1023</v>
      </c>
      <c r="G679">
        <v>59</v>
      </c>
      <c r="H679" t="s">
        <v>3</v>
      </c>
      <c r="I679" s="3">
        <v>1</v>
      </c>
      <c r="J679" s="2">
        <v>500</v>
      </c>
      <c r="K679" s="2">
        <v>500</v>
      </c>
    </row>
    <row r="680" spans="1:11" x14ac:dyDescent="0.3">
      <c r="A680">
        <v>894</v>
      </c>
      <c r="B680" s="1">
        <v>45174</v>
      </c>
      <c r="C680" s="3">
        <f t="shared" si="20"/>
        <v>2023</v>
      </c>
      <c r="D680" s="3">
        <f t="shared" si="21"/>
        <v>9</v>
      </c>
      <c r="E680" t="s">
        <v>833</v>
      </c>
      <c r="F680" t="s">
        <v>1022</v>
      </c>
      <c r="G680">
        <v>52</v>
      </c>
      <c r="H680" t="s">
        <v>4</v>
      </c>
      <c r="I680" s="3">
        <v>1</v>
      </c>
      <c r="J680" s="2">
        <v>30</v>
      </c>
      <c r="K680" s="2">
        <v>30</v>
      </c>
    </row>
    <row r="681" spans="1:11" x14ac:dyDescent="0.3">
      <c r="A681">
        <v>194</v>
      </c>
      <c r="B681" s="1">
        <v>45175</v>
      </c>
      <c r="C681" s="3">
        <f t="shared" si="20"/>
        <v>2023</v>
      </c>
      <c r="D681" s="3">
        <f t="shared" si="21"/>
        <v>9</v>
      </c>
      <c r="E681" t="s">
        <v>245</v>
      </c>
      <c r="F681" t="s">
        <v>1022</v>
      </c>
      <c r="G681">
        <v>55</v>
      </c>
      <c r="H681" t="s">
        <v>3</v>
      </c>
      <c r="I681" s="3">
        <v>4</v>
      </c>
      <c r="J681" s="2">
        <v>50</v>
      </c>
      <c r="K681" s="2">
        <v>200</v>
      </c>
    </row>
    <row r="682" spans="1:11" x14ac:dyDescent="0.3">
      <c r="A682">
        <v>245</v>
      </c>
      <c r="B682" s="1">
        <v>45175</v>
      </c>
      <c r="C682" s="3">
        <f t="shared" si="20"/>
        <v>2023</v>
      </c>
      <c r="D682" s="3">
        <f t="shared" si="21"/>
        <v>9</v>
      </c>
      <c r="E682" t="s">
        <v>496</v>
      </c>
      <c r="F682" t="s">
        <v>1022</v>
      </c>
      <c r="G682">
        <v>47</v>
      </c>
      <c r="H682" t="s">
        <v>3</v>
      </c>
      <c r="I682" s="3">
        <v>3</v>
      </c>
      <c r="J682" s="2">
        <v>30</v>
      </c>
      <c r="K682" s="2">
        <v>90</v>
      </c>
    </row>
    <row r="683" spans="1:11" x14ac:dyDescent="0.3">
      <c r="A683">
        <v>296</v>
      </c>
      <c r="B683" s="1">
        <v>45175</v>
      </c>
      <c r="C683" s="3">
        <f t="shared" si="20"/>
        <v>2023</v>
      </c>
      <c r="D683" s="3">
        <f t="shared" si="21"/>
        <v>9</v>
      </c>
      <c r="E683" t="s">
        <v>231</v>
      </c>
      <c r="F683" t="s">
        <v>1023</v>
      </c>
      <c r="G683">
        <v>22</v>
      </c>
      <c r="H683" t="s">
        <v>3</v>
      </c>
      <c r="I683" s="3">
        <v>4</v>
      </c>
      <c r="J683" s="2">
        <v>300</v>
      </c>
      <c r="K683" s="2">
        <v>1200</v>
      </c>
    </row>
    <row r="684" spans="1:11" x14ac:dyDescent="0.3">
      <c r="A684">
        <v>644</v>
      </c>
      <c r="B684" s="1">
        <v>45175</v>
      </c>
      <c r="C684" s="3">
        <f t="shared" si="20"/>
        <v>2023</v>
      </c>
      <c r="D684" s="3">
        <f t="shared" si="21"/>
        <v>9</v>
      </c>
      <c r="E684" t="s">
        <v>397</v>
      </c>
      <c r="F684" t="s">
        <v>1022</v>
      </c>
      <c r="G684">
        <v>23</v>
      </c>
      <c r="H684" t="s">
        <v>2</v>
      </c>
      <c r="I684" s="3">
        <v>3</v>
      </c>
      <c r="J684" s="2">
        <v>25</v>
      </c>
      <c r="K684" s="2">
        <v>75</v>
      </c>
    </row>
    <row r="685" spans="1:11" x14ac:dyDescent="0.3">
      <c r="A685">
        <v>696</v>
      </c>
      <c r="B685" s="1">
        <v>45175</v>
      </c>
      <c r="C685" s="3">
        <f t="shared" si="20"/>
        <v>2023</v>
      </c>
      <c r="D685" s="3">
        <f t="shared" si="21"/>
        <v>9</v>
      </c>
      <c r="E685" t="s">
        <v>36</v>
      </c>
      <c r="F685" t="s">
        <v>1023</v>
      </c>
      <c r="G685">
        <v>50</v>
      </c>
      <c r="H685" t="s">
        <v>3</v>
      </c>
      <c r="I685" s="3">
        <v>4</v>
      </c>
      <c r="J685" s="2">
        <v>50</v>
      </c>
      <c r="K685" s="2">
        <v>200</v>
      </c>
    </row>
    <row r="686" spans="1:11" x14ac:dyDescent="0.3">
      <c r="A686">
        <v>312</v>
      </c>
      <c r="B686" s="1">
        <v>45176</v>
      </c>
      <c r="C686" s="3">
        <f t="shared" si="20"/>
        <v>2023</v>
      </c>
      <c r="D686" s="3">
        <f t="shared" si="21"/>
        <v>9</v>
      </c>
      <c r="E686" t="s">
        <v>213</v>
      </c>
      <c r="F686" t="s">
        <v>1022</v>
      </c>
      <c r="G686">
        <v>41</v>
      </c>
      <c r="H686" t="s">
        <v>3</v>
      </c>
      <c r="I686" s="3">
        <v>4</v>
      </c>
      <c r="J686" s="2">
        <v>30</v>
      </c>
      <c r="K686" s="2">
        <v>120</v>
      </c>
    </row>
    <row r="687" spans="1:11" x14ac:dyDescent="0.3">
      <c r="A687">
        <v>692</v>
      </c>
      <c r="B687" s="1">
        <v>45176</v>
      </c>
      <c r="C687" s="3">
        <f t="shared" si="20"/>
        <v>2023</v>
      </c>
      <c r="D687" s="3">
        <f t="shared" si="21"/>
        <v>9</v>
      </c>
      <c r="E687" t="s">
        <v>523</v>
      </c>
      <c r="F687" t="s">
        <v>1023</v>
      </c>
      <c r="G687">
        <v>64</v>
      </c>
      <c r="H687" t="s">
        <v>3</v>
      </c>
      <c r="I687" s="3">
        <v>2</v>
      </c>
      <c r="J687" s="2">
        <v>50</v>
      </c>
      <c r="K687" s="2">
        <v>100</v>
      </c>
    </row>
    <row r="688" spans="1:11" x14ac:dyDescent="0.3">
      <c r="A688">
        <v>835</v>
      </c>
      <c r="B688" s="1">
        <v>45176</v>
      </c>
      <c r="C688" s="3">
        <f t="shared" si="20"/>
        <v>2023</v>
      </c>
      <c r="D688" s="3">
        <f t="shared" si="21"/>
        <v>9</v>
      </c>
      <c r="E688" t="s">
        <v>67</v>
      </c>
      <c r="F688" t="s">
        <v>1022</v>
      </c>
      <c r="G688">
        <v>37</v>
      </c>
      <c r="H688" t="s">
        <v>3</v>
      </c>
      <c r="I688" s="3">
        <v>4</v>
      </c>
      <c r="J688" s="2">
        <v>50</v>
      </c>
      <c r="K688" s="2">
        <v>200</v>
      </c>
    </row>
    <row r="689" spans="1:11" x14ac:dyDescent="0.3">
      <c r="A689">
        <v>183</v>
      </c>
      <c r="B689" s="1">
        <v>45177</v>
      </c>
      <c r="C689" s="3">
        <f t="shared" si="20"/>
        <v>2023</v>
      </c>
      <c r="D689" s="3">
        <f t="shared" si="21"/>
        <v>9</v>
      </c>
      <c r="E689" t="s">
        <v>505</v>
      </c>
      <c r="F689" t="s">
        <v>1023</v>
      </c>
      <c r="G689">
        <v>43</v>
      </c>
      <c r="H689" t="s">
        <v>2</v>
      </c>
      <c r="I689" s="3">
        <v>3</v>
      </c>
      <c r="J689" s="2">
        <v>300</v>
      </c>
      <c r="K689" s="2">
        <v>900</v>
      </c>
    </row>
    <row r="690" spans="1:11" x14ac:dyDescent="0.3">
      <c r="A690">
        <v>413</v>
      </c>
      <c r="B690" s="1">
        <v>45177</v>
      </c>
      <c r="C690" s="3">
        <f t="shared" si="20"/>
        <v>2023</v>
      </c>
      <c r="D690" s="3">
        <f t="shared" si="21"/>
        <v>9</v>
      </c>
      <c r="E690" t="s">
        <v>377</v>
      </c>
      <c r="F690" t="s">
        <v>1023</v>
      </c>
      <c r="G690">
        <v>44</v>
      </c>
      <c r="H690" t="s">
        <v>2</v>
      </c>
      <c r="I690" s="3">
        <v>3</v>
      </c>
      <c r="J690" s="2">
        <v>25</v>
      </c>
      <c r="K690" s="2">
        <v>75</v>
      </c>
    </row>
    <row r="691" spans="1:11" x14ac:dyDescent="0.3">
      <c r="A691">
        <v>799</v>
      </c>
      <c r="B691" s="1">
        <v>45177</v>
      </c>
      <c r="C691" s="3">
        <f t="shared" si="20"/>
        <v>2023</v>
      </c>
      <c r="D691" s="3">
        <f t="shared" si="21"/>
        <v>9</v>
      </c>
      <c r="E691" t="s">
        <v>574</v>
      </c>
      <c r="F691" t="s">
        <v>1022</v>
      </c>
      <c r="G691">
        <v>56</v>
      </c>
      <c r="H691" t="s">
        <v>4</v>
      </c>
      <c r="I691" s="3">
        <v>2</v>
      </c>
      <c r="J691" s="2">
        <v>50</v>
      </c>
      <c r="K691" s="2">
        <v>100</v>
      </c>
    </row>
    <row r="692" spans="1:11" x14ac:dyDescent="0.3">
      <c r="A692">
        <v>851</v>
      </c>
      <c r="B692" s="1">
        <v>45177</v>
      </c>
      <c r="C692" s="3">
        <f t="shared" si="20"/>
        <v>2023</v>
      </c>
      <c r="D692" s="3">
        <f t="shared" si="21"/>
        <v>9</v>
      </c>
      <c r="E692" t="s">
        <v>544</v>
      </c>
      <c r="F692" t="s">
        <v>1022</v>
      </c>
      <c r="G692">
        <v>32</v>
      </c>
      <c r="H692" t="s">
        <v>4</v>
      </c>
      <c r="I692" s="3">
        <v>2</v>
      </c>
      <c r="J692" s="2">
        <v>25</v>
      </c>
      <c r="K692" s="2">
        <v>50</v>
      </c>
    </row>
    <row r="693" spans="1:11" x14ac:dyDescent="0.3">
      <c r="A693">
        <v>858</v>
      </c>
      <c r="B693" s="1">
        <v>45178</v>
      </c>
      <c r="C693" s="3">
        <f t="shared" si="20"/>
        <v>2023</v>
      </c>
      <c r="D693" s="3">
        <f t="shared" si="21"/>
        <v>9</v>
      </c>
      <c r="E693" t="s">
        <v>550</v>
      </c>
      <c r="F693" t="s">
        <v>1022</v>
      </c>
      <c r="G693">
        <v>23</v>
      </c>
      <c r="H693" t="s">
        <v>4</v>
      </c>
      <c r="I693" s="3">
        <v>2</v>
      </c>
      <c r="J693" s="2">
        <v>50</v>
      </c>
      <c r="K693" s="2">
        <v>100</v>
      </c>
    </row>
    <row r="694" spans="1:11" x14ac:dyDescent="0.3">
      <c r="A694">
        <v>919</v>
      </c>
      <c r="B694" s="1">
        <v>45178</v>
      </c>
      <c r="C694" s="3">
        <f t="shared" si="20"/>
        <v>2023</v>
      </c>
      <c r="D694" s="3">
        <f t="shared" si="21"/>
        <v>9</v>
      </c>
      <c r="E694" t="s">
        <v>539</v>
      </c>
      <c r="F694" t="s">
        <v>1023</v>
      </c>
      <c r="G694">
        <v>22</v>
      </c>
      <c r="H694" t="s">
        <v>2</v>
      </c>
      <c r="I694" s="3">
        <v>2</v>
      </c>
      <c r="J694" s="2">
        <v>25</v>
      </c>
      <c r="K694" s="2">
        <v>50</v>
      </c>
    </row>
    <row r="695" spans="1:11" x14ac:dyDescent="0.3">
      <c r="A695">
        <v>935</v>
      </c>
      <c r="B695" s="1">
        <v>45178</v>
      </c>
      <c r="C695" s="3">
        <f t="shared" si="20"/>
        <v>2023</v>
      </c>
      <c r="D695" s="3">
        <f t="shared" si="21"/>
        <v>9</v>
      </c>
      <c r="E695" t="s">
        <v>824</v>
      </c>
      <c r="F695" t="s">
        <v>1023</v>
      </c>
      <c r="G695">
        <v>34</v>
      </c>
      <c r="H695" t="s">
        <v>2</v>
      </c>
      <c r="I695" s="3">
        <v>1</v>
      </c>
      <c r="J695" s="2">
        <v>50</v>
      </c>
      <c r="K695" s="2">
        <v>50</v>
      </c>
    </row>
    <row r="696" spans="1:11" x14ac:dyDescent="0.3">
      <c r="A696">
        <v>132</v>
      </c>
      <c r="B696" s="1">
        <v>45179</v>
      </c>
      <c r="C696" s="3">
        <f t="shared" si="20"/>
        <v>2023</v>
      </c>
      <c r="D696" s="3">
        <f t="shared" si="21"/>
        <v>9</v>
      </c>
      <c r="E696" t="s">
        <v>264</v>
      </c>
      <c r="F696" t="s">
        <v>1022</v>
      </c>
      <c r="G696">
        <v>42</v>
      </c>
      <c r="H696" t="s">
        <v>4</v>
      </c>
      <c r="I696" s="3">
        <v>4</v>
      </c>
      <c r="J696" s="2">
        <v>50</v>
      </c>
      <c r="K696" s="2">
        <v>200</v>
      </c>
    </row>
    <row r="697" spans="1:11" x14ac:dyDescent="0.3">
      <c r="A697">
        <v>604</v>
      </c>
      <c r="B697" s="1">
        <v>45180</v>
      </c>
      <c r="C697" s="3">
        <f t="shared" si="20"/>
        <v>2023</v>
      </c>
      <c r="D697" s="3">
        <f t="shared" si="21"/>
        <v>9</v>
      </c>
      <c r="E697" t="s">
        <v>166</v>
      </c>
      <c r="F697" t="s">
        <v>1023</v>
      </c>
      <c r="G697">
        <v>29</v>
      </c>
      <c r="H697" t="s">
        <v>4</v>
      </c>
      <c r="I697" s="3">
        <v>4</v>
      </c>
      <c r="J697" s="2">
        <v>50</v>
      </c>
      <c r="K697" s="2">
        <v>200</v>
      </c>
    </row>
    <row r="698" spans="1:11" x14ac:dyDescent="0.3">
      <c r="A698">
        <v>832</v>
      </c>
      <c r="B698" s="1">
        <v>45180</v>
      </c>
      <c r="C698" s="3">
        <f t="shared" si="20"/>
        <v>2023</v>
      </c>
      <c r="D698" s="3">
        <f t="shared" si="21"/>
        <v>9</v>
      </c>
      <c r="E698" t="s">
        <v>43</v>
      </c>
      <c r="F698" t="s">
        <v>1022</v>
      </c>
      <c r="G698">
        <v>47</v>
      </c>
      <c r="H698" t="s">
        <v>2</v>
      </c>
      <c r="I698" s="3">
        <v>4</v>
      </c>
      <c r="J698" s="2">
        <v>500</v>
      </c>
      <c r="K698" s="2">
        <v>2000</v>
      </c>
    </row>
    <row r="699" spans="1:11" x14ac:dyDescent="0.3">
      <c r="A699">
        <v>113</v>
      </c>
      <c r="B699" s="1">
        <v>45182</v>
      </c>
      <c r="C699" s="3">
        <f t="shared" si="20"/>
        <v>2023</v>
      </c>
      <c r="D699" s="3">
        <f t="shared" si="21"/>
        <v>9</v>
      </c>
      <c r="E699" t="s">
        <v>757</v>
      </c>
      <c r="F699" t="s">
        <v>1023</v>
      </c>
      <c r="G699">
        <v>41</v>
      </c>
      <c r="H699" t="s">
        <v>4</v>
      </c>
      <c r="I699" s="3">
        <v>2</v>
      </c>
      <c r="J699" s="2">
        <v>25</v>
      </c>
      <c r="K699" s="2">
        <v>50</v>
      </c>
    </row>
    <row r="700" spans="1:11" x14ac:dyDescent="0.3">
      <c r="A700">
        <v>165</v>
      </c>
      <c r="B700" s="1">
        <v>45183</v>
      </c>
      <c r="C700" s="3">
        <f t="shared" si="20"/>
        <v>2023</v>
      </c>
      <c r="D700" s="3">
        <f t="shared" si="21"/>
        <v>9</v>
      </c>
      <c r="E700" t="s">
        <v>215</v>
      </c>
      <c r="F700" t="s">
        <v>1023</v>
      </c>
      <c r="G700">
        <v>60</v>
      </c>
      <c r="H700" t="s">
        <v>3</v>
      </c>
      <c r="I700" s="3">
        <v>4</v>
      </c>
      <c r="J700" s="2">
        <v>300</v>
      </c>
      <c r="K700" s="2">
        <v>1200</v>
      </c>
    </row>
    <row r="701" spans="1:11" x14ac:dyDescent="0.3">
      <c r="A701">
        <v>326</v>
      </c>
      <c r="B701" s="1">
        <v>45184</v>
      </c>
      <c r="C701" s="3">
        <f t="shared" si="20"/>
        <v>2023</v>
      </c>
      <c r="D701" s="3">
        <f t="shared" si="21"/>
        <v>9</v>
      </c>
      <c r="E701" t="s">
        <v>518</v>
      </c>
      <c r="F701" t="s">
        <v>1023</v>
      </c>
      <c r="G701">
        <v>18</v>
      </c>
      <c r="H701" t="s">
        <v>3</v>
      </c>
      <c r="I701" s="3">
        <v>3</v>
      </c>
      <c r="J701" s="2">
        <v>25</v>
      </c>
      <c r="K701" s="2">
        <v>75</v>
      </c>
    </row>
    <row r="702" spans="1:11" x14ac:dyDescent="0.3">
      <c r="A702">
        <v>19</v>
      </c>
      <c r="B702" s="1">
        <v>45185</v>
      </c>
      <c r="C702" s="3">
        <f t="shared" si="20"/>
        <v>2023</v>
      </c>
      <c r="D702" s="3">
        <f t="shared" si="21"/>
        <v>9</v>
      </c>
      <c r="E702" t="s">
        <v>729</v>
      </c>
      <c r="F702" t="s">
        <v>1023</v>
      </c>
      <c r="G702">
        <v>62</v>
      </c>
      <c r="H702" t="s">
        <v>3</v>
      </c>
      <c r="I702" s="3">
        <v>2</v>
      </c>
      <c r="J702" s="2">
        <v>25</v>
      </c>
      <c r="K702" s="2">
        <v>50</v>
      </c>
    </row>
    <row r="703" spans="1:11" x14ac:dyDescent="0.3">
      <c r="A703">
        <v>412</v>
      </c>
      <c r="B703" s="1">
        <v>45185</v>
      </c>
      <c r="C703" s="3">
        <f t="shared" si="20"/>
        <v>2023</v>
      </c>
      <c r="D703" s="3">
        <f t="shared" si="21"/>
        <v>9</v>
      </c>
      <c r="E703" t="s">
        <v>111</v>
      </c>
      <c r="F703" t="s">
        <v>1023</v>
      </c>
      <c r="G703">
        <v>19</v>
      </c>
      <c r="H703" t="s">
        <v>4</v>
      </c>
      <c r="I703" s="3">
        <v>4</v>
      </c>
      <c r="J703" s="2">
        <v>500</v>
      </c>
      <c r="K703" s="2">
        <v>2000</v>
      </c>
    </row>
    <row r="704" spans="1:11" x14ac:dyDescent="0.3">
      <c r="A704">
        <v>632</v>
      </c>
      <c r="B704" s="1">
        <v>45185</v>
      </c>
      <c r="C704" s="3">
        <f t="shared" si="20"/>
        <v>2023</v>
      </c>
      <c r="D704" s="3">
        <f t="shared" si="21"/>
        <v>9</v>
      </c>
      <c r="E704" t="s">
        <v>172</v>
      </c>
      <c r="F704" t="s">
        <v>1023</v>
      </c>
      <c r="G704">
        <v>26</v>
      </c>
      <c r="H704" t="s">
        <v>4</v>
      </c>
      <c r="I704" s="3">
        <v>4</v>
      </c>
      <c r="J704" s="2">
        <v>25</v>
      </c>
      <c r="K704" s="2">
        <v>100</v>
      </c>
    </row>
    <row r="705" spans="1:11" x14ac:dyDescent="0.3">
      <c r="A705">
        <v>167</v>
      </c>
      <c r="B705" s="1">
        <v>45186</v>
      </c>
      <c r="C705" s="3">
        <f t="shared" si="20"/>
        <v>2023</v>
      </c>
      <c r="D705" s="3">
        <f t="shared" si="21"/>
        <v>9</v>
      </c>
      <c r="E705" t="s">
        <v>491</v>
      </c>
      <c r="F705" t="s">
        <v>1023</v>
      </c>
      <c r="G705">
        <v>43</v>
      </c>
      <c r="H705" t="s">
        <v>3</v>
      </c>
      <c r="I705" s="3">
        <v>3</v>
      </c>
      <c r="J705" s="2">
        <v>50</v>
      </c>
      <c r="K705" s="2">
        <v>150</v>
      </c>
    </row>
    <row r="706" spans="1:11" x14ac:dyDescent="0.3">
      <c r="A706">
        <v>172</v>
      </c>
      <c r="B706" s="1">
        <v>45186</v>
      </c>
      <c r="C706" s="3">
        <f t="shared" ref="C706:C769" si="22">YEAR(B706)</f>
        <v>2023</v>
      </c>
      <c r="D706" s="3">
        <f t="shared" ref="D706:D769" si="23">MONTH(B706)</f>
        <v>9</v>
      </c>
      <c r="E706" t="s">
        <v>682</v>
      </c>
      <c r="F706" t="s">
        <v>1022</v>
      </c>
      <c r="G706">
        <v>32</v>
      </c>
      <c r="H706" t="s">
        <v>2</v>
      </c>
      <c r="I706" s="3">
        <v>2</v>
      </c>
      <c r="J706" s="2">
        <v>25</v>
      </c>
      <c r="K706" s="2">
        <v>50</v>
      </c>
    </row>
    <row r="707" spans="1:11" x14ac:dyDescent="0.3">
      <c r="A707">
        <v>375</v>
      </c>
      <c r="B707" s="1">
        <v>45186</v>
      </c>
      <c r="C707" s="3">
        <f t="shared" si="22"/>
        <v>2023</v>
      </c>
      <c r="D707" s="3">
        <f t="shared" si="23"/>
        <v>9</v>
      </c>
      <c r="E707" t="s">
        <v>889</v>
      </c>
      <c r="F707" t="s">
        <v>1022</v>
      </c>
      <c r="G707">
        <v>32</v>
      </c>
      <c r="H707" t="s">
        <v>3</v>
      </c>
      <c r="I707" s="3">
        <v>1</v>
      </c>
      <c r="J707" s="2">
        <v>50</v>
      </c>
      <c r="K707" s="2">
        <v>50</v>
      </c>
    </row>
    <row r="708" spans="1:11" x14ac:dyDescent="0.3">
      <c r="A708">
        <v>538</v>
      </c>
      <c r="B708" s="1">
        <v>45186</v>
      </c>
      <c r="C708" s="3">
        <f t="shared" si="22"/>
        <v>2023</v>
      </c>
      <c r="D708" s="3">
        <f t="shared" si="23"/>
        <v>9</v>
      </c>
      <c r="E708" t="s">
        <v>434</v>
      </c>
      <c r="F708" t="s">
        <v>1022</v>
      </c>
      <c r="G708">
        <v>18</v>
      </c>
      <c r="H708" t="s">
        <v>3</v>
      </c>
      <c r="I708" s="3">
        <v>3</v>
      </c>
      <c r="J708" s="2">
        <v>50</v>
      </c>
      <c r="K708" s="2">
        <v>150</v>
      </c>
    </row>
    <row r="709" spans="1:11" x14ac:dyDescent="0.3">
      <c r="A709">
        <v>794</v>
      </c>
      <c r="B709" s="1">
        <v>45186</v>
      </c>
      <c r="C709" s="3">
        <f t="shared" si="22"/>
        <v>2023</v>
      </c>
      <c r="D709" s="3">
        <f t="shared" si="23"/>
        <v>9</v>
      </c>
      <c r="E709" t="s">
        <v>830</v>
      </c>
      <c r="F709" t="s">
        <v>1023</v>
      </c>
      <c r="G709">
        <v>60</v>
      </c>
      <c r="H709" t="s">
        <v>2</v>
      </c>
      <c r="I709" s="3">
        <v>1</v>
      </c>
      <c r="J709" s="2">
        <v>300</v>
      </c>
      <c r="K709" s="2">
        <v>300</v>
      </c>
    </row>
    <row r="710" spans="1:11" x14ac:dyDescent="0.3">
      <c r="A710">
        <v>131</v>
      </c>
      <c r="B710" s="1">
        <v>45187</v>
      </c>
      <c r="C710" s="3">
        <f t="shared" si="22"/>
        <v>2023</v>
      </c>
      <c r="D710" s="3">
        <f t="shared" si="23"/>
        <v>9</v>
      </c>
      <c r="E710" t="s">
        <v>722</v>
      </c>
      <c r="F710" t="s">
        <v>1023</v>
      </c>
      <c r="G710">
        <v>21</v>
      </c>
      <c r="H710" t="s">
        <v>2</v>
      </c>
      <c r="I710" s="3">
        <v>2</v>
      </c>
      <c r="J710" s="2">
        <v>300</v>
      </c>
      <c r="K710" s="2">
        <v>600</v>
      </c>
    </row>
    <row r="711" spans="1:11" x14ac:dyDescent="0.3">
      <c r="A711">
        <v>330</v>
      </c>
      <c r="B711" s="1">
        <v>45187</v>
      </c>
      <c r="C711" s="3">
        <f t="shared" si="22"/>
        <v>2023</v>
      </c>
      <c r="D711" s="3">
        <f t="shared" si="23"/>
        <v>9</v>
      </c>
      <c r="E711" t="s">
        <v>203</v>
      </c>
      <c r="F711" t="s">
        <v>1023</v>
      </c>
      <c r="G711">
        <v>25</v>
      </c>
      <c r="H711" t="s">
        <v>2</v>
      </c>
      <c r="I711" s="3">
        <v>4</v>
      </c>
      <c r="J711" s="2">
        <v>50</v>
      </c>
      <c r="K711" s="2">
        <v>200</v>
      </c>
    </row>
    <row r="712" spans="1:11" x14ac:dyDescent="0.3">
      <c r="A712">
        <v>494</v>
      </c>
      <c r="B712" s="1">
        <v>45187</v>
      </c>
      <c r="C712" s="3">
        <f t="shared" si="22"/>
        <v>2023</v>
      </c>
      <c r="D712" s="3">
        <f t="shared" si="23"/>
        <v>9</v>
      </c>
      <c r="E712" t="s">
        <v>169</v>
      </c>
      <c r="F712" t="s">
        <v>1023</v>
      </c>
      <c r="G712">
        <v>42</v>
      </c>
      <c r="H712" t="s">
        <v>2</v>
      </c>
      <c r="I712" s="3">
        <v>4</v>
      </c>
      <c r="J712" s="2">
        <v>50</v>
      </c>
      <c r="K712" s="2">
        <v>200</v>
      </c>
    </row>
    <row r="713" spans="1:11" x14ac:dyDescent="0.3">
      <c r="A713">
        <v>513</v>
      </c>
      <c r="B713" s="1">
        <v>45188</v>
      </c>
      <c r="C713" s="3">
        <f t="shared" si="22"/>
        <v>2023</v>
      </c>
      <c r="D713" s="3">
        <f t="shared" si="23"/>
        <v>9</v>
      </c>
      <c r="E713" t="s">
        <v>179</v>
      </c>
      <c r="F713" t="s">
        <v>1022</v>
      </c>
      <c r="G713">
        <v>24</v>
      </c>
      <c r="H713" t="s">
        <v>4</v>
      </c>
      <c r="I713" s="3">
        <v>4</v>
      </c>
      <c r="J713" s="2">
        <v>25</v>
      </c>
      <c r="K713" s="2">
        <v>100</v>
      </c>
    </row>
    <row r="714" spans="1:11" x14ac:dyDescent="0.3">
      <c r="A714">
        <v>573</v>
      </c>
      <c r="B714" s="1">
        <v>45188</v>
      </c>
      <c r="C714" s="3">
        <f t="shared" si="22"/>
        <v>2023</v>
      </c>
      <c r="D714" s="3">
        <f t="shared" si="23"/>
        <v>9</v>
      </c>
      <c r="E714" t="s">
        <v>656</v>
      </c>
      <c r="F714" t="s">
        <v>1022</v>
      </c>
      <c r="G714">
        <v>49</v>
      </c>
      <c r="H714" t="s">
        <v>2</v>
      </c>
      <c r="I714" s="3">
        <v>2</v>
      </c>
      <c r="J714" s="2">
        <v>30</v>
      </c>
      <c r="K714" s="2">
        <v>60</v>
      </c>
    </row>
    <row r="715" spans="1:11" x14ac:dyDescent="0.3">
      <c r="A715">
        <v>241</v>
      </c>
      <c r="B715" s="1">
        <v>45190</v>
      </c>
      <c r="C715" s="3">
        <f t="shared" si="22"/>
        <v>2023</v>
      </c>
      <c r="D715" s="3">
        <f t="shared" si="23"/>
        <v>9</v>
      </c>
      <c r="E715" t="s">
        <v>494</v>
      </c>
      <c r="F715" t="s">
        <v>1023</v>
      </c>
      <c r="G715">
        <v>23</v>
      </c>
      <c r="H715" t="s">
        <v>4</v>
      </c>
      <c r="I715" s="3">
        <v>3</v>
      </c>
      <c r="J715" s="2">
        <v>25</v>
      </c>
      <c r="K715" s="2">
        <v>75</v>
      </c>
    </row>
    <row r="716" spans="1:11" x14ac:dyDescent="0.3">
      <c r="A716">
        <v>579</v>
      </c>
      <c r="B716" s="1">
        <v>45190</v>
      </c>
      <c r="C716" s="3">
        <f t="shared" si="22"/>
        <v>2023</v>
      </c>
      <c r="D716" s="3">
        <f t="shared" si="23"/>
        <v>9</v>
      </c>
      <c r="E716" t="s">
        <v>859</v>
      </c>
      <c r="F716" t="s">
        <v>1023</v>
      </c>
      <c r="G716">
        <v>38</v>
      </c>
      <c r="H716" t="s">
        <v>4</v>
      </c>
      <c r="I716" s="3">
        <v>1</v>
      </c>
      <c r="J716" s="2">
        <v>30</v>
      </c>
      <c r="K716" s="2">
        <v>30</v>
      </c>
    </row>
    <row r="717" spans="1:11" x14ac:dyDescent="0.3">
      <c r="A717">
        <v>218</v>
      </c>
      <c r="B717" s="1">
        <v>45191</v>
      </c>
      <c r="C717" s="3">
        <f t="shared" si="22"/>
        <v>2023</v>
      </c>
      <c r="D717" s="3">
        <f t="shared" si="23"/>
        <v>9</v>
      </c>
      <c r="E717" t="s">
        <v>488</v>
      </c>
      <c r="F717" t="s">
        <v>1022</v>
      </c>
      <c r="G717">
        <v>64</v>
      </c>
      <c r="H717" t="s">
        <v>2</v>
      </c>
      <c r="I717" s="3">
        <v>3</v>
      </c>
      <c r="J717" s="2">
        <v>30</v>
      </c>
      <c r="K717" s="2">
        <v>90</v>
      </c>
    </row>
    <row r="718" spans="1:11" x14ac:dyDescent="0.3">
      <c r="A718">
        <v>846</v>
      </c>
      <c r="B718" s="1">
        <v>45191</v>
      </c>
      <c r="C718" s="3">
        <f t="shared" si="22"/>
        <v>2023</v>
      </c>
      <c r="D718" s="3">
        <f t="shared" si="23"/>
        <v>9</v>
      </c>
      <c r="E718" t="s">
        <v>801</v>
      </c>
      <c r="F718" t="s">
        <v>1022</v>
      </c>
      <c r="G718">
        <v>42</v>
      </c>
      <c r="H718" t="s">
        <v>2</v>
      </c>
      <c r="I718" s="3">
        <v>1</v>
      </c>
      <c r="J718" s="2">
        <v>50</v>
      </c>
      <c r="K718" s="2">
        <v>50</v>
      </c>
    </row>
    <row r="719" spans="1:11" x14ac:dyDescent="0.3">
      <c r="A719">
        <v>616</v>
      </c>
      <c r="B719" s="1">
        <v>45192</v>
      </c>
      <c r="C719" s="3">
        <f t="shared" si="22"/>
        <v>2023</v>
      </c>
      <c r="D719" s="3">
        <f t="shared" si="23"/>
        <v>9</v>
      </c>
      <c r="E719" t="s">
        <v>647</v>
      </c>
      <c r="F719" t="s">
        <v>1022</v>
      </c>
      <c r="G719">
        <v>41</v>
      </c>
      <c r="H719" t="s">
        <v>3</v>
      </c>
      <c r="I719" s="3">
        <v>2</v>
      </c>
      <c r="J719" s="2">
        <v>50</v>
      </c>
      <c r="K719" s="2">
        <v>100</v>
      </c>
    </row>
    <row r="720" spans="1:11" x14ac:dyDescent="0.3">
      <c r="A720">
        <v>523</v>
      </c>
      <c r="B720" s="1">
        <v>45193</v>
      </c>
      <c r="C720" s="3">
        <f t="shared" si="22"/>
        <v>2023</v>
      </c>
      <c r="D720" s="3">
        <f t="shared" si="23"/>
        <v>9</v>
      </c>
      <c r="E720" t="s">
        <v>893</v>
      </c>
      <c r="F720" t="s">
        <v>1023</v>
      </c>
      <c r="G720">
        <v>62</v>
      </c>
      <c r="H720" t="s">
        <v>4</v>
      </c>
      <c r="I720" s="3">
        <v>1</v>
      </c>
      <c r="J720" s="2">
        <v>300</v>
      </c>
      <c r="K720" s="2">
        <v>300</v>
      </c>
    </row>
    <row r="721" spans="1:11" x14ac:dyDescent="0.3">
      <c r="A721">
        <v>643</v>
      </c>
      <c r="B721" s="1">
        <v>45193</v>
      </c>
      <c r="C721" s="3">
        <f t="shared" si="22"/>
        <v>2023</v>
      </c>
      <c r="D721" s="3">
        <f t="shared" si="23"/>
        <v>9</v>
      </c>
      <c r="E721" t="s">
        <v>429</v>
      </c>
      <c r="F721" t="s">
        <v>1023</v>
      </c>
      <c r="G721">
        <v>28</v>
      </c>
      <c r="H721" t="s">
        <v>4</v>
      </c>
      <c r="I721" s="3">
        <v>3</v>
      </c>
      <c r="J721" s="2">
        <v>30</v>
      </c>
      <c r="K721" s="2">
        <v>90</v>
      </c>
    </row>
    <row r="722" spans="1:11" x14ac:dyDescent="0.3">
      <c r="A722">
        <v>351</v>
      </c>
      <c r="B722" s="1">
        <v>45194</v>
      </c>
      <c r="C722" s="3">
        <f t="shared" si="22"/>
        <v>2023</v>
      </c>
      <c r="D722" s="3">
        <f t="shared" si="23"/>
        <v>9</v>
      </c>
      <c r="E722" t="s">
        <v>423</v>
      </c>
      <c r="F722" t="s">
        <v>1023</v>
      </c>
      <c r="G722">
        <v>56</v>
      </c>
      <c r="H722" t="s">
        <v>3</v>
      </c>
      <c r="I722" s="3">
        <v>3</v>
      </c>
      <c r="J722" s="2">
        <v>30</v>
      </c>
      <c r="K722" s="2">
        <v>90</v>
      </c>
    </row>
    <row r="723" spans="1:11" x14ac:dyDescent="0.3">
      <c r="A723">
        <v>809</v>
      </c>
      <c r="B723" s="1">
        <v>45194</v>
      </c>
      <c r="C723" s="3">
        <f t="shared" si="22"/>
        <v>2023</v>
      </c>
      <c r="D723" s="3">
        <f t="shared" si="23"/>
        <v>9</v>
      </c>
      <c r="E723" t="s">
        <v>525</v>
      </c>
      <c r="F723" t="s">
        <v>1023</v>
      </c>
      <c r="G723">
        <v>62</v>
      </c>
      <c r="H723" t="s">
        <v>2</v>
      </c>
      <c r="I723" s="3">
        <v>2</v>
      </c>
      <c r="J723" s="2">
        <v>50</v>
      </c>
      <c r="K723" s="2">
        <v>100</v>
      </c>
    </row>
    <row r="724" spans="1:11" x14ac:dyDescent="0.3">
      <c r="A724">
        <v>954</v>
      </c>
      <c r="B724" s="1">
        <v>45194</v>
      </c>
      <c r="C724" s="3">
        <f t="shared" si="22"/>
        <v>2023</v>
      </c>
      <c r="D724" s="3">
        <f t="shared" si="23"/>
        <v>9</v>
      </c>
      <c r="E724" t="s">
        <v>299</v>
      </c>
      <c r="F724" t="s">
        <v>1023</v>
      </c>
      <c r="G724">
        <v>50</v>
      </c>
      <c r="H724" t="s">
        <v>4</v>
      </c>
      <c r="I724" s="3">
        <v>3</v>
      </c>
      <c r="J724" s="2">
        <v>300</v>
      </c>
      <c r="K724" s="2">
        <v>900</v>
      </c>
    </row>
    <row r="725" spans="1:11" x14ac:dyDescent="0.3">
      <c r="A725">
        <v>897</v>
      </c>
      <c r="B725" s="1">
        <v>45195</v>
      </c>
      <c r="C725" s="3">
        <f t="shared" si="22"/>
        <v>2023</v>
      </c>
      <c r="D725" s="3">
        <f t="shared" si="23"/>
        <v>9</v>
      </c>
      <c r="E725" t="s">
        <v>578</v>
      </c>
      <c r="F725" t="s">
        <v>1023</v>
      </c>
      <c r="G725">
        <v>64</v>
      </c>
      <c r="H725" t="s">
        <v>4</v>
      </c>
      <c r="I725" s="3">
        <v>2</v>
      </c>
      <c r="J725" s="2">
        <v>50</v>
      </c>
      <c r="K725" s="2">
        <v>100</v>
      </c>
    </row>
    <row r="726" spans="1:11" x14ac:dyDescent="0.3">
      <c r="A726">
        <v>147</v>
      </c>
      <c r="B726" s="1">
        <v>45197</v>
      </c>
      <c r="C726" s="3">
        <f t="shared" si="22"/>
        <v>2023</v>
      </c>
      <c r="D726" s="3">
        <f t="shared" si="23"/>
        <v>9</v>
      </c>
      <c r="E726" t="s">
        <v>949</v>
      </c>
      <c r="F726" t="s">
        <v>1022</v>
      </c>
      <c r="G726">
        <v>23</v>
      </c>
      <c r="H726" t="s">
        <v>4</v>
      </c>
      <c r="I726" s="3">
        <v>1</v>
      </c>
      <c r="J726" s="2">
        <v>300</v>
      </c>
      <c r="K726" s="2">
        <v>300</v>
      </c>
    </row>
    <row r="727" spans="1:11" x14ac:dyDescent="0.3">
      <c r="A727">
        <v>204</v>
      </c>
      <c r="B727" s="1">
        <v>45197</v>
      </c>
      <c r="C727" s="3">
        <f t="shared" si="22"/>
        <v>2023</v>
      </c>
      <c r="D727" s="3">
        <f t="shared" si="23"/>
        <v>9</v>
      </c>
      <c r="E727" t="s">
        <v>1005</v>
      </c>
      <c r="F727" t="s">
        <v>1022</v>
      </c>
      <c r="G727">
        <v>39</v>
      </c>
      <c r="H727" t="s">
        <v>2</v>
      </c>
      <c r="I727" s="3">
        <v>1</v>
      </c>
      <c r="J727" s="2">
        <v>25</v>
      </c>
      <c r="K727" s="2">
        <v>25</v>
      </c>
    </row>
    <row r="728" spans="1:11" x14ac:dyDescent="0.3">
      <c r="A728">
        <v>390</v>
      </c>
      <c r="B728" s="1">
        <v>45197</v>
      </c>
      <c r="C728" s="3">
        <f t="shared" si="22"/>
        <v>2023</v>
      </c>
      <c r="D728" s="3">
        <f t="shared" si="23"/>
        <v>9</v>
      </c>
      <c r="E728" t="s">
        <v>618</v>
      </c>
      <c r="F728" t="s">
        <v>1022</v>
      </c>
      <c r="G728">
        <v>39</v>
      </c>
      <c r="H728" t="s">
        <v>4</v>
      </c>
      <c r="I728" s="3">
        <v>2</v>
      </c>
      <c r="J728" s="2">
        <v>50</v>
      </c>
      <c r="K728" s="2">
        <v>100</v>
      </c>
    </row>
    <row r="729" spans="1:11" x14ac:dyDescent="0.3">
      <c r="A729">
        <v>179</v>
      </c>
      <c r="B729" s="1">
        <v>45198</v>
      </c>
      <c r="C729" s="3">
        <f t="shared" si="22"/>
        <v>2023</v>
      </c>
      <c r="D729" s="3">
        <f t="shared" si="23"/>
        <v>9</v>
      </c>
      <c r="E729" t="s">
        <v>947</v>
      </c>
      <c r="F729" t="s">
        <v>1022</v>
      </c>
      <c r="G729">
        <v>31</v>
      </c>
      <c r="H729" t="s">
        <v>4</v>
      </c>
      <c r="I729" s="3">
        <v>1</v>
      </c>
      <c r="J729" s="2">
        <v>300</v>
      </c>
      <c r="K729" s="2">
        <v>300</v>
      </c>
    </row>
    <row r="730" spans="1:11" x14ac:dyDescent="0.3">
      <c r="A730">
        <v>327</v>
      </c>
      <c r="B730" s="1">
        <v>45198</v>
      </c>
      <c r="C730" s="3">
        <f t="shared" si="22"/>
        <v>2023</v>
      </c>
      <c r="D730" s="3">
        <f t="shared" si="23"/>
        <v>9</v>
      </c>
      <c r="E730" t="s">
        <v>480</v>
      </c>
      <c r="F730" t="s">
        <v>1022</v>
      </c>
      <c r="G730">
        <v>57</v>
      </c>
      <c r="H730" t="s">
        <v>4</v>
      </c>
      <c r="I730" s="3">
        <v>3</v>
      </c>
      <c r="J730" s="2">
        <v>50</v>
      </c>
      <c r="K730" s="2">
        <v>150</v>
      </c>
    </row>
    <row r="731" spans="1:11" x14ac:dyDescent="0.3">
      <c r="A731">
        <v>626</v>
      </c>
      <c r="B731" s="1">
        <v>45198</v>
      </c>
      <c r="C731" s="3">
        <f t="shared" si="22"/>
        <v>2023</v>
      </c>
      <c r="D731" s="3">
        <f t="shared" si="23"/>
        <v>9</v>
      </c>
      <c r="E731" t="s">
        <v>170</v>
      </c>
      <c r="F731" t="s">
        <v>1023</v>
      </c>
      <c r="G731">
        <v>26</v>
      </c>
      <c r="H731" t="s">
        <v>3</v>
      </c>
      <c r="I731" s="3">
        <v>4</v>
      </c>
      <c r="J731" s="2">
        <v>500</v>
      </c>
      <c r="K731" s="2">
        <v>2000</v>
      </c>
    </row>
    <row r="732" spans="1:11" x14ac:dyDescent="0.3">
      <c r="A732">
        <v>873</v>
      </c>
      <c r="B732" s="1">
        <v>45198</v>
      </c>
      <c r="C732" s="3">
        <f t="shared" si="22"/>
        <v>2023</v>
      </c>
      <c r="D732" s="3">
        <f t="shared" si="23"/>
        <v>9</v>
      </c>
      <c r="E732" t="s">
        <v>75</v>
      </c>
      <c r="F732" t="s">
        <v>1023</v>
      </c>
      <c r="G732">
        <v>27</v>
      </c>
      <c r="H732" t="s">
        <v>4</v>
      </c>
      <c r="I732" s="3">
        <v>4</v>
      </c>
      <c r="J732" s="2">
        <v>25</v>
      </c>
      <c r="K732" s="2">
        <v>100</v>
      </c>
    </row>
    <row r="733" spans="1:11" x14ac:dyDescent="0.3">
      <c r="A733">
        <v>196</v>
      </c>
      <c r="B733" s="1">
        <v>45199</v>
      </c>
      <c r="C733" s="3">
        <f t="shared" si="22"/>
        <v>2023</v>
      </c>
      <c r="D733" s="3">
        <f t="shared" si="23"/>
        <v>9</v>
      </c>
      <c r="E733" t="s">
        <v>515</v>
      </c>
      <c r="F733" t="s">
        <v>1023</v>
      </c>
      <c r="G733">
        <v>32</v>
      </c>
      <c r="H733" t="s">
        <v>3</v>
      </c>
      <c r="I733" s="3">
        <v>3</v>
      </c>
      <c r="J733" s="2">
        <v>300</v>
      </c>
      <c r="K733" s="2">
        <v>900</v>
      </c>
    </row>
    <row r="734" spans="1:11" x14ac:dyDescent="0.3">
      <c r="A734">
        <v>789</v>
      </c>
      <c r="B734" s="1">
        <v>45199</v>
      </c>
      <c r="C734" s="3">
        <f t="shared" si="22"/>
        <v>2023</v>
      </c>
      <c r="D734" s="3">
        <f t="shared" si="23"/>
        <v>9</v>
      </c>
      <c r="E734" t="s">
        <v>88</v>
      </c>
      <c r="F734" t="s">
        <v>1023</v>
      </c>
      <c r="G734">
        <v>61</v>
      </c>
      <c r="H734" t="s">
        <v>3</v>
      </c>
      <c r="I734" s="3">
        <v>4</v>
      </c>
      <c r="J734" s="2">
        <v>500</v>
      </c>
      <c r="K734" s="2">
        <v>2000</v>
      </c>
    </row>
    <row r="735" spans="1:11" x14ac:dyDescent="0.3">
      <c r="A735">
        <v>89</v>
      </c>
      <c r="B735" s="1">
        <v>45200</v>
      </c>
      <c r="C735" s="3">
        <f t="shared" si="22"/>
        <v>2023</v>
      </c>
      <c r="D735" s="3">
        <f t="shared" si="23"/>
        <v>10</v>
      </c>
      <c r="E735" t="s">
        <v>240</v>
      </c>
      <c r="F735" t="s">
        <v>1023</v>
      </c>
      <c r="G735">
        <v>55</v>
      </c>
      <c r="H735" t="s">
        <v>4</v>
      </c>
      <c r="I735" s="3">
        <v>4</v>
      </c>
      <c r="J735" s="2">
        <v>500</v>
      </c>
      <c r="K735" s="2">
        <v>2000</v>
      </c>
    </row>
    <row r="736" spans="1:11" x14ac:dyDescent="0.3">
      <c r="A736">
        <v>707</v>
      </c>
      <c r="B736" s="1">
        <v>45200</v>
      </c>
      <c r="C736" s="3">
        <f t="shared" si="22"/>
        <v>2023</v>
      </c>
      <c r="D736" s="3">
        <f t="shared" si="23"/>
        <v>10</v>
      </c>
      <c r="E736" t="s">
        <v>812</v>
      </c>
      <c r="F736" t="s">
        <v>1023</v>
      </c>
      <c r="G736">
        <v>26</v>
      </c>
      <c r="H736" t="s">
        <v>3</v>
      </c>
      <c r="I736" s="3">
        <v>1</v>
      </c>
      <c r="J736" s="2">
        <v>500</v>
      </c>
      <c r="K736" s="2">
        <v>500</v>
      </c>
    </row>
    <row r="737" spans="1:11" x14ac:dyDescent="0.3">
      <c r="A737">
        <v>909</v>
      </c>
      <c r="B737" s="1">
        <v>45200</v>
      </c>
      <c r="C737" s="3">
        <f t="shared" si="22"/>
        <v>2023</v>
      </c>
      <c r="D737" s="3">
        <f t="shared" si="23"/>
        <v>10</v>
      </c>
      <c r="E737" t="s">
        <v>772</v>
      </c>
      <c r="F737" t="s">
        <v>1022</v>
      </c>
      <c r="G737">
        <v>26</v>
      </c>
      <c r="H737" t="s">
        <v>4</v>
      </c>
      <c r="I737" s="3">
        <v>1</v>
      </c>
      <c r="J737" s="2">
        <v>300</v>
      </c>
      <c r="K737" s="2">
        <v>300</v>
      </c>
    </row>
    <row r="738" spans="1:11" x14ac:dyDescent="0.3">
      <c r="A738">
        <v>51</v>
      </c>
      <c r="B738" s="1">
        <v>45201</v>
      </c>
      <c r="C738" s="3">
        <f t="shared" si="22"/>
        <v>2023</v>
      </c>
      <c r="D738" s="3">
        <f t="shared" si="23"/>
        <v>10</v>
      </c>
      <c r="E738" t="s">
        <v>507</v>
      </c>
      <c r="F738" t="s">
        <v>1022</v>
      </c>
      <c r="G738">
        <v>27</v>
      </c>
      <c r="H738" t="s">
        <v>2</v>
      </c>
      <c r="I738" s="3">
        <v>3</v>
      </c>
      <c r="J738" s="2">
        <v>25</v>
      </c>
      <c r="K738" s="2">
        <v>75</v>
      </c>
    </row>
    <row r="739" spans="1:11" x14ac:dyDescent="0.3">
      <c r="A739">
        <v>154</v>
      </c>
      <c r="B739" s="1">
        <v>45201</v>
      </c>
      <c r="C739" s="3">
        <f t="shared" si="22"/>
        <v>2023</v>
      </c>
      <c r="D739" s="3">
        <f t="shared" si="23"/>
        <v>10</v>
      </c>
      <c r="E739" t="s">
        <v>481</v>
      </c>
      <c r="F739" t="s">
        <v>1022</v>
      </c>
      <c r="G739">
        <v>51</v>
      </c>
      <c r="H739" t="s">
        <v>4</v>
      </c>
      <c r="I739" s="3">
        <v>3</v>
      </c>
      <c r="J739" s="2">
        <v>300</v>
      </c>
      <c r="K739" s="2">
        <v>900</v>
      </c>
    </row>
    <row r="740" spans="1:11" x14ac:dyDescent="0.3">
      <c r="A740">
        <v>276</v>
      </c>
      <c r="B740" s="1">
        <v>45201</v>
      </c>
      <c r="C740" s="3">
        <f t="shared" si="22"/>
        <v>2023</v>
      </c>
      <c r="D740" s="3">
        <f t="shared" si="23"/>
        <v>10</v>
      </c>
      <c r="E740" t="s">
        <v>261</v>
      </c>
      <c r="F740" t="s">
        <v>1023</v>
      </c>
      <c r="G740">
        <v>21</v>
      </c>
      <c r="H740" t="s">
        <v>2</v>
      </c>
      <c r="I740" s="3">
        <v>4</v>
      </c>
      <c r="J740" s="2">
        <v>25</v>
      </c>
      <c r="K740" s="2">
        <v>100</v>
      </c>
    </row>
    <row r="741" spans="1:11" x14ac:dyDescent="0.3">
      <c r="A741">
        <v>497</v>
      </c>
      <c r="B741" s="1">
        <v>45201</v>
      </c>
      <c r="C741" s="3">
        <f t="shared" si="22"/>
        <v>2023</v>
      </c>
      <c r="D741" s="3">
        <f t="shared" si="23"/>
        <v>10</v>
      </c>
      <c r="E741" t="s">
        <v>171</v>
      </c>
      <c r="F741" t="s">
        <v>1022</v>
      </c>
      <c r="G741">
        <v>41</v>
      </c>
      <c r="H741" t="s">
        <v>3</v>
      </c>
      <c r="I741" s="3">
        <v>4</v>
      </c>
      <c r="J741" s="2">
        <v>30</v>
      </c>
      <c r="K741" s="2">
        <v>120</v>
      </c>
    </row>
    <row r="742" spans="1:11" x14ac:dyDescent="0.3">
      <c r="A742">
        <v>889</v>
      </c>
      <c r="B742" s="1">
        <v>45201</v>
      </c>
      <c r="C742" s="3">
        <f t="shared" si="22"/>
        <v>2023</v>
      </c>
      <c r="D742" s="3">
        <f t="shared" si="23"/>
        <v>10</v>
      </c>
      <c r="E742" t="s">
        <v>791</v>
      </c>
      <c r="F742" t="s">
        <v>1023</v>
      </c>
      <c r="G742">
        <v>35</v>
      </c>
      <c r="H742" t="s">
        <v>4</v>
      </c>
      <c r="I742" s="3">
        <v>1</v>
      </c>
      <c r="J742" s="2">
        <v>50</v>
      </c>
      <c r="K742" s="2">
        <v>50</v>
      </c>
    </row>
    <row r="743" spans="1:11" x14ac:dyDescent="0.3">
      <c r="A743">
        <v>122</v>
      </c>
      <c r="B743" s="1">
        <v>45202</v>
      </c>
      <c r="C743" s="3">
        <f t="shared" si="22"/>
        <v>2023</v>
      </c>
      <c r="D743" s="3">
        <f t="shared" si="23"/>
        <v>10</v>
      </c>
      <c r="E743" t="s">
        <v>260</v>
      </c>
      <c r="F743" t="s">
        <v>1022</v>
      </c>
      <c r="G743">
        <v>64</v>
      </c>
      <c r="H743" t="s">
        <v>4</v>
      </c>
      <c r="I743" s="3">
        <v>4</v>
      </c>
      <c r="J743" s="2">
        <v>30</v>
      </c>
      <c r="K743" s="2">
        <v>120</v>
      </c>
    </row>
    <row r="744" spans="1:11" x14ac:dyDescent="0.3">
      <c r="A744">
        <v>373</v>
      </c>
      <c r="B744" s="1">
        <v>45202</v>
      </c>
      <c r="C744" s="3">
        <f t="shared" si="22"/>
        <v>2023</v>
      </c>
      <c r="D744" s="3">
        <f t="shared" si="23"/>
        <v>10</v>
      </c>
      <c r="E744" t="s">
        <v>605</v>
      </c>
      <c r="F744" t="s">
        <v>1023</v>
      </c>
      <c r="G744">
        <v>25</v>
      </c>
      <c r="H744" t="s">
        <v>2</v>
      </c>
      <c r="I744" s="3">
        <v>2</v>
      </c>
      <c r="J744" s="2">
        <v>300</v>
      </c>
      <c r="K744" s="2">
        <v>600</v>
      </c>
    </row>
    <row r="745" spans="1:11" x14ac:dyDescent="0.3">
      <c r="A745">
        <v>524</v>
      </c>
      <c r="B745" s="1">
        <v>45202</v>
      </c>
      <c r="C745" s="3">
        <f t="shared" si="22"/>
        <v>2023</v>
      </c>
      <c r="D745" s="3">
        <f t="shared" si="23"/>
        <v>10</v>
      </c>
      <c r="E745" t="s">
        <v>112</v>
      </c>
      <c r="F745" t="s">
        <v>1022</v>
      </c>
      <c r="G745">
        <v>46</v>
      </c>
      <c r="H745" t="s">
        <v>2</v>
      </c>
      <c r="I745" s="3">
        <v>4</v>
      </c>
      <c r="J745" s="2">
        <v>300</v>
      </c>
      <c r="K745" s="2">
        <v>1200</v>
      </c>
    </row>
    <row r="746" spans="1:11" x14ac:dyDescent="0.3">
      <c r="A746">
        <v>688</v>
      </c>
      <c r="B746" s="1">
        <v>45202</v>
      </c>
      <c r="C746" s="3">
        <f t="shared" si="22"/>
        <v>2023</v>
      </c>
      <c r="D746" s="3">
        <f t="shared" si="23"/>
        <v>10</v>
      </c>
      <c r="E746" t="s">
        <v>31</v>
      </c>
      <c r="F746" t="s">
        <v>1022</v>
      </c>
      <c r="G746">
        <v>56</v>
      </c>
      <c r="H746" t="s">
        <v>3</v>
      </c>
      <c r="I746" s="3">
        <v>4</v>
      </c>
      <c r="J746" s="2">
        <v>25</v>
      </c>
      <c r="K746" s="2">
        <v>100</v>
      </c>
    </row>
    <row r="747" spans="1:11" x14ac:dyDescent="0.3">
      <c r="A747">
        <v>813</v>
      </c>
      <c r="B747" s="1">
        <v>45202</v>
      </c>
      <c r="C747" s="3">
        <f t="shared" si="22"/>
        <v>2023</v>
      </c>
      <c r="D747" s="3">
        <f t="shared" si="23"/>
        <v>10</v>
      </c>
      <c r="E747" t="s">
        <v>328</v>
      </c>
      <c r="F747" t="s">
        <v>1022</v>
      </c>
      <c r="G747">
        <v>52</v>
      </c>
      <c r="H747" t="s">
        <v>4</v>
      </c>
      <c r="I747" s="3">
        <v>3</v>
      </c>
      <c r="J747" s="2">
        <v>50</v>
      </c>
      <c r="K747" s="2">
        <v>150</v>
      </c>
    </row>
    <row r="748" spans="1:11" x14ac:dyDescent="0.3">
      <c r="A748">
        <v>178</v>
      </c>
      <c r="B748" s="1">
        <v>45203</v>
      </c>
      <c r="C748" s="3">
        <f t="shared" si="22"/>
        <v>2023</v>
      </c>
      <c r="D748" s="3">
        <f t="shared" si="23"/>
        <v>10</v>
      </c>
      <c r="E748" t="s">
        <v>690</v>
      </c>
      <c r="F748" t="s">
        <v>1022</v>
      </c>
      <c r="G748">
        <v>40</v>
      </c>
      <c r="H748" t="s">
        <v>3</v>
      </c>
      <c r="I748" s="3">
        <v>2</v>
      </c>
      <c r="J748" s="2">
        <v>30</v>
      </c>
      <c r="K748" s="2">
        <v>60</v>
      </c>
    </row>
    <row r="749" spans="1:11" x14ac:dyDescent="0.3">
      <c r="A749">
        <v>208</v>
      </c>
      <c r="B749" s="1">
        <v>45203</v>
      </c>
      <c r="C749" s="3">
        <f t="shared" si="22"/>
        <v>2023</v>
      </c>
      <c r="D749" s="3">
        <f t="shared" si="23"/>
        <v>10</v>
      </c>
      <c r="E749" t="s">
        <v>199</v>
      </c>
      <c r="F749" t="s">
        <v>1023</v>
      </c>
      <c r="G749">
        <v>34</v>
      </c>
      <c r="H749" t="s">
        <v>4</v>
      </c>
      <c r="I749" s="3">
        <v>4</v>
      </c>
      <c r="J749" s="2">
        <v>50</v>
      </c>
      <c r="K749" s="2">
        <v>200</v>
      </c>
    </row>
    <row r="750" spans="1:11" x14ac:dyDescent="0.3">
      <c r="A750">
        <v>247</v>
      </c>
      <c r="B750" s="1">
        <v>45203</v>
      </c>
      <c r="C750" s="3">
        <f t="shared" si="22"/>
        <v>2023</v>
      </c>
      <c r="D750" s="3">
        <f t="shared" si="23"/>
        <v>10</v>
      </c>
      <c r="E750" t="s">
        <v>760</v>
      </c>
      <c r="F750" t="s">
        <v>1022</v>
      </c>
      <c r="G750">
        <v>41</v>
      </c>
      <c r="H750" t="s">
        <v>4</v>
      </c>
      <c r="I750" s="3">
        <v>2</v>
      </c>
      <c r="J750" s="2">
        <v>30</v>
      </c>
      <c r="K750" s="2">
        <v>60</v>
      </c>
    </row>
    <row r="751" spans="1:11" x14ac:dyDescent="0.3">
      <c r="A751">
        <v>290</v>
      </c>
      <c r="B751" s="1">
        <v>45203</v>
      </c>
      <c r="C751" s="3">
        <f t="shared" si="22"/>
        <v>2023</v>
      </c>
      <c r="D751" s="3">
        <f t="shared" si="23"/>
        <v>10</v>
      </c>
      <c r="E751" t="s">
        <v>735</v>
      </c>
      <c r="F751" t="s">
        <v>1023</v>
      </c>
      <c r="G751">
        <v>30</v>
      </c>
      <c r="H751" t="s">
        <v>2</v>
      </c>
      <c r="I751" s="3">
        <v>2</v>
      </c>
      <c r="J751" s="2">
        <v>300</v>
      </c>
      <c r="K751" s="2">
        <v>600</v>
      </c>
    </row>
    <row r="752" spans="1:11" x14ac:dyDescent="0.3">
      <c r="A752">
        <v>656</v>
      </c>
      <c r="B752" s="1">
        <v>45203</v>
      </c>
      <c r="C752" s="3">
        <f t="shared" si="22"/>
        <v>2023</v>
      </c>
      <c r="D752" s="3">
        <f t="shared" si="23"/>
        <v>10</v>
      </c>
      <c r="E752" t="s">
        <v>13</v>
      </c>
      <c r="F752" t="s">
        <v>1022</v>
      </c>
      <c r="G752">
        <v>29</v>
      </c>
      <c r="H752" t="s">
        <v>2</v>
      </c>
      <c r="I752" s="3">
        <v>3</v>
      </c>
      <c r="J752" s="2">
        <v>30</v>
      </c>
      <c r="K752" s="2">
        <v>90</v>
      </c>
    </row>
    <row r="753" spans="1:11" x14ac:dyDescent="0.3">
      <c r="A753">
        <v>735</v>
      </c>
      <c r="B753" s="1">
        <v>45203</v>
      </c>
      <c r="C753" s="3">
        <f t="shared" si="22"/>
        <v>2023</v>
      </c>
      <c r="D753" s="3">
        <f t="shared" si="23"/>
        <v>10</v>
      </c>
      <c r="E753" t="s">
        <v>56</v>
      </c>
      <c r="F753" t="s">
        <v>1023</v>
      </c>
      <c r="G753">
        <v>64</v>
      </c>
      <c r="H753" t="s">
        <v>3</v>
      </c>
      <c r="I753" s="3">
        <v>4</v>
      </c>
      <c r="J753" s="2">
        <v>500</v>
      </c>
      <c r="K753" s="2">
        <v>2000</v>
      </c>
    </row>
    <row r="754" spans="1:11" x14ac:dyDescent="0.3">
      <c r="A754">
        <v>319</v>
      </c>
      <c r="B754" s="1">
        <v>45204</v>
      </c>
      <c r="C754" s="3">
        <f t="shared" si="22"/>
        <v>2023</v>
      </c>
      <c r="D754" s="3">
        <f t="shared" si="23"/>
        <v>10</v>
      </c>
      <c r="E754" t="s">
        <v>994</v>
      </c>
      <c r="F754" t="s">
        <v>1022</v>
      </c>
      <c r="G754">
        <v>31</v>
      </c>
      <c r="H754" t="s">
        <v>3</v>
      </c>
      <c r="I754" s="3">
        <v>1</v>
      </c>
      <c r="J754" s="2">
        <v>500</v>
      </c>
      <c r="K754" s="2">
        <v>500</v>
      </c>
    </row>
    <row r="755" spans="1:11" x14ac:dyDescent="0.3">
      <c r="A755">
        <v>670</v>
      </c>
      <c r="B755" s="1">
        <v>45204</v>
      </c>
      <c r="C755" s="3">
        <f t="shared" si="22"/>
        <v>2023</v>
      </c>
      <c r="D755" s="3">
        <f t="shared" si="23"/>
        <v>10</v>
      </c>
      <c r="E755" t="s">
        <v>849</v>
      </c>
      <c r="F755" t="s">
        <v>1022</v>
      </c>
      <c r="G755">
        <v>27</v>
      </c>
      <c r="H755" t="s">
        <v>2</v>
      </c>
      <c r="I755" s="3">
        <v>1</v>
      </c>
      <c r="J755" s="2">
        <v>30</v>
      </c>
      <c r="K755" s="2">
        <v>30</v>
      </c>
    </row>
    <row r="756" spans="1:11" x14ac:dyDescent="0.3">
      <c r="A756">
        <v>385</v>
      </c>
      <c r="B756" s="1">
        <v>45205</v>
      </c>
      <c r="C756" s="3">
        <f t="shared" si="22"/>
        <v>2023</v>
      </c>
      <c r="D756" s="3">
        <f t="shared" si="23"/>
        <v>10</v>
      </c>
      <c r="E756" t="s">
        <v>424</v>
      </c>
      <c r="F756" t="s">
        <v>1022</v>
      </c>
      <c r="G756">
        <v>50</v>
      </c>
      <c r="H756" t="s">
        <v>4</v>
      </c>
      <c r="I756" s="3">
        <v>3</v>
      </c>
      <c r="J756" s="2">
        <v>500</v>
      </c>
      <c r="K756" s="2">
        <v>1500</v>
      </c>
    </row>
    <row r="757" spans="1:11" x14ac:dyDescent="0.3">
      <c r="A757">
        <v>10</v>
      </c>
      <c r="B757" s="1">
        <v>45206</v>
      </c>
      <c r="C757" s="3">
        <f t="shared" si="22"/>
        <v>2023</v>
      </c>
      <c r="D757" s="3">
        <f t="shared" si="23"/>
        <v>10</v>
      </c>
      <c r="E757" t="s">
        <v>200</v>
      </c>
      <c r="F757" t="s">
        <v>1023</v>
      </c>
      <c r="G757">
        <v>52</v>
      </c>
      <c r="H757" t="s">
        <v>3</v>
      </c>
      <c r="I757" s="3">
        <v>4</v>
      </c>
      <c r="J757" s="2">
        <v>50</v>
      </c>
      <c r="K757" s="2">
        <v>200</v>
      </c>
    </row>
    <row r="758" spans="1:11" x14ac:dyDescent="0.3">
      <c r="A758">
        <v>26</v>
      </c>
      <c r="B758" s="1">
        <v>45206</v>
      </c>
      <c r="C758" s="3">
        <f t="shared" si="22"/>
        <v>2023</v>
      </c>
      <c r="D758" s="3">
        <f t="shared" si="23"/>
        <v>10</v>
      </c>
      <c r="E758" t="s">
        <v>698</v>
      </c>
      <c r="F758" t="s">
        <v>1023</v>
      </c>
      <c r="G758">
        <v>28</v>
      </c>
      <c r="H758" t="s">
        <v>4</v>
      </c>
      <c r="I758" s="3">
        <v>2</v>
      </c>
      <c r="J758" s="2">
        <v>500</v>
      </c>
      <c r="K758" s="2">
        <v>1000</v>
      </c>
    </row>
    <row r="759" spans="1:11" x14ac:dyDescent="0.3">
      <c r="A759">
        <v>437</v>
      </c>
      <c r="B759" s="1">
        <v>45206</v>
      </c>
      <c r="C759" s="3">
        <f t="shared" si="22"/>
        <v>2023</v>
      </c>
      <c r="D759" s="3">
        <f t="shared" si="23"/>
        <v>10</v>
      </c>
      <c r="E759" t="s">
        <v>131</v>
      </c>
      <c r="F759" t="s">
        <v>1023</v>
      </c>
      <c r="G759">
        <v>35</v>
      </c>
      <c r="H759" t="s">
        <v>4</v>
      </c>
      <c r="I759" s="3">
        <v>4</v>
      </c>
      <c r="J759" s="2">
        <v>300</v>
      </c>
      <c r="K759" s="2">
        <v>1200</v>
      </c>
    </row>
    <row r="760" spans="1:11" x14ac:dyDescent="0.3">
      <c r="A760">
        <v>689</v>
      </c>
      <c r="B760" s="1">
        <v>45206</v>
      </c>
      <c r="C760" s="3">
        <f t="shared" si="22"/>
        <v>2023</v>
      </c>
      <c r="D760" s="3">
        <f t="shared" si="23"/>
        <v>10</v>
      </c>
      <c r="E760" t="s">
        <v>590</v>
      </c>
      <c r="F760" t="s">
        <v>1022</v>
      </c>
      <c r="G760">
        <v>57</v>
      </c>
      <c r="H760" t="s">
        <v>4</v>
      </c>
      <c r="I760" s="3">
        <v>2</v>
      </c>
      <c r="J760" s="2">
        <v>50</v>
      </c>
      <c r="K760" s="2">
        <v>100</v>
      </c>
    </row>
    <row r="761" spans="1:11" x14ac:dyDescent="0.3">
      <c r="A761">
        <v>558</v>
      </c>
      <c r="B761" s="1">
        <v>45207</v>
      </c>
      <c r="C761" s="3">
        <f t="shared" si="22"/>
        <v>2023</v>
      </c>
      <c r="D761" s="3">
        <f t="shared" si="23"/>
        <v>10</v>
      </c>
      <c r="E761" t="s">
        <v>871</v>
      </c>
      <c r="F761" t="s">
        <v>1023</v>
      </c>
      <c r="G761">
        <v>41</v>
      </c>
      <c r="H761" t="s">
        <v>3</v>
      </c>
      <c r="I761" s="3">
        <v>1</v>
      </c>
      <c r="J761" s="2">
        <v>25</v>
      </c>
      <c r="K761" s="2">
        <v>25</v>
      </c>
    </row>
    <row r="762" spans="1:11" x14ac:dyDescent="0.3">
      <c r="A762">
        <v>634</v>
      </c>
      <c r="B762" s="1">
        <v>45207</v>
      </c>
      <c r="C762" s="3">
        <f t="shared" si="22"/>
        <v>2023</v>
      </c>
      <c r="D762" s="3">
        <f t="shared" si="23"/>
        <v>10</v>
      </c>
      <c r="E762" t="s">
        <v>174</v>
      </c>
      <c r="F762" t="s">
        <v>1022</v>
      </c>
      <c r="G762">
        <v>60</v>
      </c>
      <c r="H762" t="s">
        <v>4</v>
      </c>
      <c r="I762" s="3">
        <v>4</v>
      </c>
      <c r="J762" s="2">
        <v>500</v>
      </c>
      <c r="K762" s="2">
        <v>2000</v>
      </c>
    </row>
    <row r="763" spans="1:11" x14ac:dyDescent="0.3">
      <c r="A763">
        <v>201</v>
      </c>
      <c r="B763" s="1">
        <v>45208</v>
      </c>
      <c r="C763" s="3">
        <f t="shared" si="22"/>
        <v>2023</v>
      </c>
      <c r="D763" s="3">
        <f t="shared" si="23"/>
        <v>10</v>
      </c>
      <c r="E763" t="s">
        <v>989</v>
      </c>
      <c r="F763" t="s">
        <v>1022</v>
      </c>
      <c r="G763">
        <v>56</v>
      </c>
      <c r="H763" t="s">
        <v>4</v>
      </c>
      <c r="I763" s="3">
        <v>1</v>
      </c>
      <c r="J763" s="2">
        <v>25</v>
      </c>
      <c r="K763" s="2">
        <v>25</v>
      </c>
    </row>
    <row r="764" spans="1:11" x14ac:dyDescent="0.3">
      <c r="A764">
        <v>286</v>
      </c>
      <c r="B764" s="1">
        <v>45208</v>
      </c>
      <c r="C764" s="3">
        <f t="shared" si="22"/>
        <v>2023</v>
      </c>
      <c r="D764" s="3">
        <f t="shared" si="23"/>
        <v>10</v>
      </c>
      <c r="E764" t="s">
        <v>687</v>
      </c>
      <c r="F764" t="s">
        <v>1022</v>
      </c>
      <c r="G764">
        <v>55</v>
      </c>
      <c r="H764" t="s">
        <v>4</v>
      </c>
      <c r="I764" s="3">
        <v>2</v>
      </c>
      <c r="J764" s="2">
        <v>25</v>
      </c>
      <c r="K764" s="2">
        <v>50</v>
      </c>
    </row>
    <row r="765" spans="1:11" x14ac:dyDescent="0.3">
      <c r="A765">
        <v>876</v>
      </c>
      <c r="B765" s="1">
        <v>45208</v>
      </c>
      <c r="C765" s="3">
        <f t="shared" si="22"/>
        <v>2023</v>
      </c>
      <c r="D765" s="3">
        <f t="shared" si="23"/>
        <v>10</v>
      </c>
      <c r="E765" t="s">
        <v>77</v>
      </c>
      <c r="F765" t="s">
        <v>1022</v>
      </c>
      <c r="G765">
        <v>43</v>
      </c>
      <c r="H765" t="s">
        <v>3</v>
      </c>
      <c r="I765" s="3">
        <v>4</v>
      </c>
      <c r="J765" s="2">
        <v>30</v>
      </c>
      <c r="K765" s="2">
        <v>120</v>
      </c>
    </row>
    <row r="766" spans="1:11" x14ac:dyDescent="0.3">
      <c r="A766">
        <v>55</v>
      </c>
      <c r="B766" s="1">
        <v>45209</v>
      </c>
      <c r="C766" s="3">
        <f t="shared" si="22"/>
        <v>2023</v>
      </c>
      <c r="D766" s="3">
        <f t="shared" si="23"/>
        <v>10</v>
      </c>
      <c r="E766" t="s">
        <v>218</v>
      </c>
      <c r="F766" t="s">
        <v>1022</v>
      </c>
      <c r="G766">
        <v>31</v>
      </c>
      <c r="H766" t="s">
        <v>2</v>
      </c>
      <c r="I766" s="3">
        <v>4</v>
      </c>
      <c r="J766" s="2">
        <v>30</v>
      </c>
      <c r="K766" s="2">
        <v>120</v>
      </c>
    </row>
    <row r="767" spans="1:11" x14ac:dyDescent="0.3">
      <c r="A767">
        <v>428</v>
      </c>
      <c r="B767" s="1">
        <v>45209</v>
      </c>
      <c r="C767" s="3">
        <f t="shared" si="22"/>
        <v>2023</v>
      </c>
      <c r="D767" s="3">
        <f t="shared" si="23"/>
        <v>10</v>
      </c>
      <c r="E767" t="s">
        <v>123</v>
      </c>
      <c r="F767" t="s">
        <v>1023</v>
      </c>
      <c r="G767">
        <v>40</v>
      </c>
      <c r="H767" t="s">
        <v>4</v>
      </c>
      <c r="I767" s="3">
        <v>4</v>
      </c>
      <c r="J767" s="2">
        <v>50</v>
      </c>
      <c r="K767" s="2">
        <v>200</v>
      </c>
    </row>
    <row r="768" spans="1:11" x14ac:dyDescent="0.3">
      <c r="A768">
        <v>441</v>
      </c>
      <c r="B768" s="1">
        <v>45209</v>
      </c>
      <c r="C768" s="3">
        <f t="shared" si="22"/>
        <v>2023</v>
      </c>
      <c r="D768" s="3">
        <f t="shared" si="23"/>
        <v>10</v>
      </c>
      <c r="E768" t="s">
        <v>133</v>
      </c>
      <c r="F768" t="s">
        <v>1022</v>
      </c>
      <c r="G768">
        <v>57</v>
      </c>
      <c r="H768" t="s">
        <v>2</v>
      </c>
      <c r="I768" s="3">
        <v>4</v>
      </c>
      <c r="J768" s="2">
        <v>300</v>
      </c>
      <c r="K768" s="2">
        <v>1200</v>
      </c>
    </row>
    <row r="769" spans="1:11" x14ac:dyDescent="0.3">
      <c r="A769">
        <v>976</v>
      </c>
      <c r="B769" s="1">
        <v>45209</v>
      </c>
      <c r="C769" s="3">
        <f t="shared" si="22"/>
        <v>2023</v>
      </c>
      <c r="D769" s="3">
        <f t="shared" si="23"/>
        <v>10</v>
      </c>
      <c r="E769" t="s">
        <v>583</v>
      </c>
      <c r="F769" t="s">
        <v>1023</v>
      </c>
      <c r="G769">
        <v>48</v>
      </c>
      <c r="H769" t="s">
        <v>2</v>
      </c>
      <c r="I769" s="3">
        <v>2</v>
      </c>
      <c r="J769" s="2">
        <v>300</v>
      </c>
      <c r="K769" s="2">
        <v>600</v>
      </c>
    </row>
    <row r="770" spans="1:11" x14ac:dyDescent="0.3">
      <c r="A770">
        <v>149</v>
      </c>
      <c r="B770" s="1">
        <v>45210</v>
      </c>
      <c r="C770" s="3">
        <f t="shared" ref="C770:C833" si="24">YEAR(B770)</f>
        <v>2023</v>
      </c>
      <c r="D770" s="3">
        <f t="shared" ref="D770:D833" si="25">MONTH(B770)</f>
        <v>10</v>
      </c>
      <c r="E770" t="s">
        <v>479</v>
      </c>
      <c r="F770" t="s">
        <v>1022</v>
      </c>
      <c r="G770">
        <v>22</v>
      </c>
      <c r="H770" t="s">
        <v>3</v>
      </c>
      <c r="I770" s="3">
        <v>3</v>
      </c>
      <c r="J770" s="2">
        <v>25</v>
      </c>
      <c r="K770" s="2">
        <v>75</v>
      </c>
    </row>
    <row r="771" spans="1:11" x14ac:dyDescent="0.3">
      <c r="A771">
        <v>227</v>
      </c>
      <c r="B771" s="1">
        <v>45210</v>
      </c>
      <c r="C771" s="3">
        <f t="shared" si="24"/>
        <v>2023</v>
      </c>
      <c r="D771" s="3">
        <f t="shared" si="25"/>
        <v>10</v>
      </c>
      <c r="E771" t="s">
        <v>740</v>
      </c>
      <c r="F771" t="s">
        <v>1022</v>
      </c>
      <c r="G771">
        <v>36</v>
      </c>
      <c r="H771" t="s">
        <v>4</v>
      </c>
      <c r="I771" s="3">
        <v>2</v>
      </c>
      <c r="J771" s="2">
        <v>50</v>
      </c>
      <c r="K771" s="2">
        <v>100</v>
      </c>
    </row>
    <row r="772" spans="1:11" x14ac:dyDescent="0.3">
      <c r="A772">
        <v>393</v>
      </c>
      <c r="B772" s="1">
        <v>45210</v>
      </c>
      <c r="C772" s="3">
        <f t="shared" si="24"/>
        <v>2023</v>
      </c>
      <c r="D772" s="3">
        <f t="shared" si="25"/>
        <v>10</v>
      </c>
      <c r="E772" t="s">
        <v>632</v>
      </c>
      <c r="F772" t="s">
        <v>1023</v>
      </c>
      <c r="G772">
        <v>22</v>
      </c>
      <c r="H772" t="s">
        <v>2</v>
      </c>
      <c r="I772" s="3">
        <v>2</v>
      </c>
      <c r="J772" s="2">
        <v>500</v>
      </c>
      <c r="K772" s="2">
        <v>1000</v>
      </c>
    </row>
    <row r="773" spans="1:11" x14ac:dyDescent="0.3">
      <c r="A773">
        <v>401</v>
      </c>
      <c r="B773" s="1">
        <v>45210</v>
      </c>
      <c r="C773" s="3">
        <f t="shared" si="24"/>
        <v>2023</v>
      </c>
      <c r="D773" s="3">
        <f t="shared" si="25"/>
        <v>10</v>
      </c>
      <c r="E773" t="s">
        <v>878</v>
      </c>
      <c r="F773" t="s">
        <v>1023</v>
      </c>
      <c r="G773">
        <v>62</v>
      </c>
      <c r="H773" t="s">
        <v>3</v>
      </c>
      <c r="I773" s="3">
        <v>1</v>
      </c>
      <c r="J773" s="2">
        <v>300</v>
      </c>
      <c r="K773" s="2">
        <v>300</v>
      </c>
    </row>
    <row r="774" spans="1:11" x14ac:dyDescent="0.3">
      <c r="A774">
        <v>546</v>
      </c>
      <c r="B774" s="1">
        <v>45210</v>
      </c>
      <c r="C774" s="3">
        <f t="shared" si="24"/>
        <v>2023</v>
      </c>
      <c r="D774" s="3">
        <f t="shared" si="25"/>
        <v>10</v>
      </c>
      <c r="E774" t="s">
        <v>105</v>
      </c>
      <c r="F774" t="s">
        <v>1023</v>
      </c>
      <c r="G774">
        <v>36</v>
      </c>
      <c r="H774" t="s">
        <v>4</v>
      </c>
      <c r="I774" s="3">
        <v>4</v>
      </c>
      <c r="J774" s="2">
        <v>50</v>
      </c>
      <c r="K774" s="2">
        <v>200</v>
      </c>
    </row>
    <row r="775" spans="1:11" x14ac:dyDescent="0.3">
      <c r="A775">
        <v>872</v>
      </c>
      <c r="B775" s="1">
        <v>45210</v>
      </c>
      <c r="C775" s="3">
        <f t="shared" si="24"/>
        <v>2023</v>
      </c>
      <c r="D775" s="3">
        <f t="shared" si="25"/>
        <v>10</v>
      </c>
      <c r="E775" t="s">
        <v>293</v>
      </c>
      <c r="F775" t="s">
        <v>1023</v>
      </c>
      <c r="G775">
        <v>63</v>
      </c>
      <c r="H775" t="s">
        <v>2</v>
      </c>
      <c r="I775" s="3">
        <v>3</v>
      </c>
      <c r="J775" s="2">
        <v>25</v>
      </c>
      <c r="K775" s="2">
        <v>75</v>
      </c>
    </row>
    <row r="776" spans="1:11" x14ac:dyDescent="0.3">
      <c r="A776">
        <v>914</v>
      </c>
      <c r="B776" s="1">
        <v>45210</v>
      </c>
      <c r="C776" s="3">
        <f t="shared" si="24"/>
        <v>2023</v>
      </c>
      <c r="D776" s="3">
        <f t="shared" si="25"/>
        <v>10</v>
      </c>
      <c r="E776" t="s">
        <v>856</v>
      </c>
      <c r="F776" t="s">
        <v>1023</v>
      </c>
      <c r="G776">
        <v>59</v>
      </c>
      <c r="H776" t="s">
        <v>4</v>
      </c>
      <c r="I776" s="3">
        <v>1</v>
      </c>
      <c r="J776" s="2">
        <v>500</v>
      </c>
      <c r="K776" s="2">
        <v>500</v>
      </c>
    </row>
    <row r="777" spans="1:11" x14ac:dyDescent="0.3">
      <c r="A777">
        <v>310</v>
      </c>
      <c r="B777" s="1">
        <v>45211</v>
      </c>
      <c r="C777" s="3">
        <f t="shared" si="24"/>
        <v>2023</v>
      </c>
      <c r="D777" s="3">
        <f t="shared" si="25"/>
        <v>10</v>
      </c>
      <c r="E777" t="s">
        <v>958</v>
      </c>
      <c r="F777" t="s">
        <v>1023</v>
      </c>
      <c r="G777">
        <v>28</v>
      </c>
      <c r="H777" t="s">
        <v>2</v>
      </c>
      <c r="I777" s="3">
        <v>1</v>
      </c>
      <c r="J777" s="2">
        <v>25</v>
      </c>
      <c r="K777" s="2">
        <v>25</v>
      </c>
    </row>
    <row r="778" spans="1:11" x14ac:dyDescent="0.3">
      <c r="A778">
        <v>844</v>
      </c>
      <c r="B778" s="1">
        <v>45211</v>
      </c>
      <c r="C778" s="3">
        <f t="shared" si="24"/>
        <v>2023</v>
      </c>
      <c r="D778" s="3">
        <f t="shared" si="25"/>
        <v>10</v>
      </c>
      <c r="E778" t="s">
        <v>358</v>
      </c>
      <c r="F778" t="s">
        <v>1022</v>
      </c>
      <c r="G778">
        <v>35</v>
      </c>
      <c r="H778" t="s">
        <v>3</v>
      </c>
      <c r="I778" s="3">
        <v>3</v>
      </c>
      <c r="J778" s="2">
        <v>50</v>
      </c>
      <c r="K778" s="2">
        <v>150</v>
      </c>
    </row>
    <row r="779" spans="1:11" x14ac:dyDescent="0.3">
      <c r="A779">
        <v>852</v>
      </c>
      <c r="B779" s="1">
        <v>45211</v>
      </c>
      <c r="C779" s="3">
        <f t="shared" si="24"/>
        <v>2023</v>
      </c>
      <c r="D779" s="3">
        <f t="shared" si="25"/>
        <v>10</v>
      </c>
      <c r="E779" t="s">
        <v>787</v>
      </c>
      <c r="F779" t="s">
        <v>1023</v>
      </c>
      <c r="G779">
        <v>41</v>
      </c>
      <c r="H779" t="s">
        <v>3</v>
      </c>
      <c r="I779" s="3">
        <v>1</v>
      </c>
      <c r="J779" s="2">
        <v>300</v>
      </c>
      <c r="K779" s="2">
        <v>300</v>
      </c>
    </row>
    <row r="780" spans="1:11" x14ac:dyDescent="0.3">
      <c r="A780">
        <v>97</v>
      </c>
      <c r="B780" s="1">
        <v>45212</v>
      </c>
      <c r="C780" s="3">
        <f t="shared" si="24"/>
        <v>2023</v>
      </c>
      <c r="D780" s="3">
        <f t="shared" si="25"/>
        <v>10</v>
      </c>
      <c r="E780" t="s">
        <v>680</v>
      </c>
      <c r="F780" t="s">
        <v>1023</v>
      </c>
      <c r="G780">
        <v>51</v>
      </c>
      <c r="H780" t="s">
        <v>2</v>
      </c>
      <c r="I780" s="3">
        <v>2</v>
      </c>
      <c r="J780" s="2">
        <v>500</v>
      </c>
      <c r="K780" s="2">
        <v>1000</v>
      </c>
    </row>
    <row r="781" spans="1:11" x14ac:dyDescent="0.3">
      <c r="A781">
        <v>619</v>
      </c>
      <c r="B781" s="1">
        <v>45212</v>
      </c>
      <c r="C781" s="3">
        <f t="shared" si="24"/>
        <v>2023</v>
      </c>
      <c r="D781" s="3">
        <f t="shared" si="25"/>
        <v>10</v>
      </c>
      <c r="E781" t="s">
        <v>118</v>
      </c>
      <c r="F781" t="s">
        <v>1022</v>
      </c>
      <c r="G781">
        <v>47</v>
      </c>
      <c r="H781" t="s">
        <v>4</v>
      </c>
      <c r="I781" s="3">
        <v>4</v>
      </c>
      <c r="J781" s="2">
        <v>25</v>
      </c>
      <c r="K781" s="2">
        <v>100</v>
      </c>
    </row>
    <row r="782" spans="1:11" x14ac:dyDescent="0.3">
      <c r="A782">
        <v>948</v>
      </c>
      <c r="B782" s="1">
        <v>45212</v>
      </c>
      <c r="C782" s="3">
        <f t="shared" si="24"/>
        <v>2023</v>
      </c>
      <c r="D782" s="3">
        <f t="shared" si="25"/>
        <v>10</v>
      </c>
      <c r="E782" t="s">
        <v>347</v>
      </c>
      <c r="F782" t="s">
        <v>1023</v>
      </c>
      <c r="G782">
        <v>23</v>
      </c>
      <c r="H782" t="s">
        <v>4</v>
      </c>
      <c r="I782" s="3">
        <v>3</v>
      </c>
      <c r="J782" s="2">
        <v>25</v>
      </c>
      <c r="K782" s="2">
        <v>75</v>
      </c>
    </row>
    <row r="783" spans="1:11" x14ac:dyDescent="0.3">
      <c r="A783">
        <v>456</v>
      </c>
      <c r="B783" s="1">
        <v>45213</v>
      </c>
      <c r="C783" s="3">
        <f t="shared" si="24"/>
        <v>2023</v>
      </c>
      <c r="D783" s="3">
        <f t="shared" si="25"/>
        <v>10</v>
      </c>
      <c r="E783" t="s">
        <v>649</v>
      </c>
      <c r="F783" t="s">
        <v>1022</v>
      </c>
      <c r="G783">
        <v>57</v>
      </c>
      <c r="H783" t="s">
        <v>4</v>
      </c>
      <c r="I783" s="3">
        <v>2</v>
      </c>
      <c r="J783" s="2">
        <v>30</v>
      </c>
      <c r="K783" s="2">
        <v>60</v>
      </c>
    </row>
    <row r="784" spans="1:11" x14ac:dyDescent="0.3">
      <c r="A784">
        <v>627</v>
      </c>
      <c r="B784" s="1">
        <v>45213</v>
      </c>
      <c r="C784" s="3">
        <f t="shared" si="24"/>
        <v>2023</v>
      </c>
      <c r="D784" s="3">
        <f t="shared" si="25"/>
        <v>10</v>
      </c>
      <c r="E784" t="s">
        <v>929</v>
      </c>
      <c r="F784" t="s">
        <v>1022</v>
      </c>
      <c r="G784">
        <v>57</v>
      </c>
      <c r="H784" t="s">
        <v>3</v>
      </c>
      <c r="I784" s="3">
        <v>1</v>
      </c>
      <c r="J784" s="2">
        <v>50</v>
      </c>
      <c r="K784" s="2">
        <v>50</v>
      </c>
    </row>
    <row r="785" spans="1:11" x14ac:dyDescent="0.3">
      <c r="A785">
        <v>22</v>
      </c>
      <c r="B785" s="1">
        <v>45214</v>
      </c>
      <c r="C785" s="3">
        <f t="shared" si="24"/>
        <v>2023</v>
      </c>
      <c r="D785" s="3">
        <f t="shared" si="25"/>
        <v>10</v>
      </c>
      <c r="E785" t="s">
        <v>745</v>
      </c>
      <c r="F785" t="s">
        <v>1022</v>
      </c>
      <c r="G785">
        <v>18</v>
      </c>
      <c r="H785" t="s">
        <v>3</v>
      </c>
      <c r="I785" s="3">
        <v>2</v>
      </c>
      <c r="J785" s="2">
        <v>50</v>
      </c>
      <c r="K785" s="2">
        <v>100</v>
      </c>
    </row>
    <row r="786" spans="1:11" x14ac:dyDescent="0.3">
      <c r="A786">
        <v>121</v>
      </c>
      <c r="B786" s="1">
        <v>45214</v>
      </c>
      <c r="C786" s="3">
        <f t="shared" si="24"/>
        <v>2023</v>
      </c>
      <c r="D786" s="3">
        <f t="shared" si="25"/>
        <v>10</v>
      </c>
      <c r="E786" t="s">
        <v>258</v>
      </c>
      <c r="F786" t="s">
        <v>1023</v>
      </c>
      <c r="G786">
        <v>28</v>
      </c>
      <c r="H786" t="s">
        <v>4</v>
      </c>
      <c r="I786" s="3">
        <v>4</v>
      </c>
      <c r="J786" s="2">
        <v>50</v>
      </c>
      <c r="K786" s="2">
        <v>200</v>
      </c>
    </row>
    <row r="787" spans="1:11" x14ac:dyDescent="0.3">
      <c r="A787">
        <v>431</v>
      </c>
      <c r="B787" s="1">
        <v>45214</v>
      </c>
      <c r="C787" s="3">
        <f t="shared" si="24"/>
        <v>2023</v>
      </c>
      <c r="D787" s="3">
        <f t="shared" si="25"/>
        <v>10</v>
      </c>
      <c r="E787" t="s">
        <v>125</v>
      </c>
      <c r="F787" t="s">
        <v>1022</v>
      </c>
      <c r="G787">
        <v>63</v>
      </c>
      <c r="H787" t="s">
        <v>4</v>
      </c>
      <c r="I787" s="3">
        <v>4</v>
      </c>
      <c r="J787" s="2">
        <v>300</v>
      </c>
      <c r="K787" s="2">
        <v>1200</v>
      </c>
    </row>
    <row r="788" spans="1:11" x14ac:dyDescent="0.3">
      <c r="A788">
        <v>370</v>
      </c>
      <c r="B788" s="1">
        <v>45215</v>
      </c>
      <c r="C788" s="3">
        <f t="shared" si="24"/>
        <v>2023</v>
      </c>
      <c r="D788" s="3">
        <f t="shared" si="25"/>
        <v>10</v>
      </c>
      <c r="E788" t="s">
        <v>662</v>
      </c>
      <c r="F788" t="s">
        <v>1022</v>
      </c>
      <c r="G788">
        <v>23</v>
      </c>
      <c r="H788" t="s">
        <v>4</v>
      </c>
      <c r="I788" s="3">
        <v>2</v>
      </c>
      <c r="J788" s="2">
        <v>30</v>
      </c>
      <c r="K788" s="2">
        <v>60</v>
      </c>
    </row>
    <row r="789" spans="1:11" x14ac:dyDescent="0.3">
      <c r="A789">
        <v>711</v>
      </c>
      <c r="B789" s="1">
        <v>45215</v>
      </c>
      <c r="C789" s="3">
        <f t="shared" si="24"/>
        <v>2023</v>
      </c>
      <c r="D789" s="3">
        <f t="shared" si="25"/>
        <v>10</v>
      </c>
      <c r="E789" t="s">
        <v>340</v>
      </c>
      <c r="F789" t="s">
        <v>1022</v>
      </c>
      <c r="G789">
        <v>26</v>
      </c>
      <c r="H789" t="s">
        <v>4</v>
      </c>
      <c r="I789" s="3">
        <v>3</v>
      </c>
      <c r="J789" s="2">
        <v>500</v>
      </c>
      <c r="K789" s="2">
        <v>1500</v>
      </c>
    </row>
    <row r="790" spans="1:11" x14ac:dyDescent="0.3">
      <c r="A790">
        <v>754</v>
      </c>
      <c r="B790" s="1">
        <v>45215</v>
      </c>
      <c r="C790" s="3">
        <f t="shared" si="24"/>
        <v>2023</v>
      </c>
      <c r="D790" s="3">
        <f t="shared" si="25"/>
        <v>10</v>
      </c>
      <c r="E790" t="s">
        <v>66</v>
      </c>
      <c r="F790" t="s">
        <v>1023</v>
      </c>
      <c r="G790">
        <v>43</v>
      </c>
      <c r="H790" t="s">
        <v>4</v>
      </c>
      <c r="I790" s="3">
        <v>4</v>
      </c>
      <c r="J790" s="2">
        <v>25</v>
      </c>
      <c r="K790" s="2">
        <v>100</v>
      </c>
    </row>
    <row r="791" spans="1:11" x14ac:dyDescent="0.3">
      <c r="A791">
        <v>943</v>
      </c>
      <c r="B791" s="1">
        <v>45215</v>
      </c>
      <c r="C791" s="3">
        <f t="shared" si="24"/>
        <v>2023</v>
      </c>
      <c r="D791" s="3">
        <f t="shared" si="25"/>
        <v>10</v>
      </c>
      <c r="E791" t="s">
        <v>24</v>
      </c>
      <c r="F791" t="s">
        <v>1023</v>
      </c>
      <c r="G791">
        <v>57</v>
      </c>
      <c r="H791" t="s">
        <v>3</v>
      </c>
      <c r="I791" s="3">
        <v>4</v>
      </c>
      <c r="J791" s="2">
        <v>300</v>
      </c>
      <c r="K791" s="2">
        <v>1200</v>
      </c>
    </row>
    <row r="792" spans="1:11" x14ac:dyDescent="0.3">
      <c r="A792">
        <v>350</v>
      </c>
      <c r="B792" s="1">
        <v>45216</v>
      </c>
      <c r="C792" s="3">
        <f t="shared" si="24"/>
        <v>2023</v>
      </c>
      <c r="D792" s="3">
        <f t="shared" si="25"/>
        <v>10</v>
      </c>
      <c r="E792" t="s">
        <v>421</v>
      </c>
      <c r="F792" t="s">
        <v>1022</v>
      </c>
      <c r="G792">
        <v>25</v>
      </c>
      <c r="H792" t="s">
        <v>2</v>
      </c>
      <c r="I792" s="3">
        <v>3</v>
      </c>
      <c r="J792" s="2">
        <v>25</v>
      </c>
      <c r="K792" s="2">
        <v>75</v>
      </c>
    </row>
    <row r="793" spans="1:11" x14ac:dyDescent="0.3">
      <c r="A793">
        <v>786</v>
      </c>
      <c r="B793" s="1">
        <v>45216</v>
      </c>
      <c r="C793" s="3">
        <f t="shared" si="24"/>
        <v>2023</v>
      </c>
      <c r="D793" s="3">
        <f t="shared" si="25"/>
        <v>10</v>
      </c>
      <c r="E793" t="s">
        <v>86</v>
      </c>
      <c r="F793" t="s">
        <v>1022</v>
      </c>
      <c r="G793">
        <v>48</v>
      </c>
      <c r="H793" t="s">
        <v>3</v>
      </c>
      <c r="I793" s="3">
        <v>4</v>
      </c>
      <c r="J793" s="2">
        <v>25</v>
      </c>
      <c r="K793" s="2">
        <v>100</v>
      </c>
    </row>
    <row r="794" spans="1:11" x14ac:dyDescent="0.3">
      <c r="A794">
        <v>109</v>
      </c>
      <c r="B794" s="1">
        <v>45217</v>
      </c>
      <c r="C794" s="3">
        <f t="shared" si="24"/>
        <v>2023</v>
      </c>
      <c r="D794" s="3">
        <f t="shared" si="25"/>
        <v>10</v>
      </c>
      <c r="E794" t="s">
        <v>252</v>
      </c>
      <c r="F794" t="s">
        <v>1023</v>
      </c>
      <c r="G794">
        <v>34</v>
      </c>
      <c r="H794" t="s">
        <v>4</v>
      </c>
      <c r="I794" s="3">
        <v>4</v>
      </c>
      <c r="J794" s="2">
        <v>500</v>
      </c>
      <c r="K794" s="2">
        <v>2000</v>
      </c>
    </row>
    <row r="795" spans="1:11" x14ac:dyDescent="0.3">
      <c r="A795">
        <v>191</v>
      </c>
      <c r="B795" s="1">
        <v>45217</v>
      </c>
      <c r="C795" s="3">
        <f t="shared" si="24"/>
        <v>2023</v>
      </c>
      <c r="D795" s="3">
        <f t="shared" si="25"/>
        <v>10</v>
      </c>
      <c r="E795" t="s">
        <v>954</v>
      </c>
      <c r="F795" t="s">
        <v>1022</v>
      </c>
      <c r="G795">
        <v>64</v>
      </c>
      <c r="H795" t="s">
        <v>2</v>
      </c>
      <c r="I795" s="3">
        <v>1</v>
      </c>
      <c r="J795" s="2">
        <v>25</v>
      </c>
      <c r="K795" s="2">
        <v>25</v>
      </c>
    </row>
    <row r="796" spans="1:11" x14ac:dyDescent="0.3">
      <c r="A796">
        <v>340</v>
      </c>
      <c r="B796" s="1">
        <v>45218</v>
      </c>
      <c r="C796" s="3">
        <f t="shared" si="24"/>
        <v>2023</v>
      </c>
      <c r="D796" s="3">
        <f t="shared" si="25"/>
        <v>10</v>
      </c>
      <c r="E796" t="s">
        <v>180</v>
      </c>
      <c r="F796" t="s">
        <v>1023</v>
      </c>
      <c r="G796">
        <v>36</v>
      </c>
      <c r="H796" t="s">
        <v>3</v>
      </c>
      <c r="I796" s="3">
        <v>4</v>
      </c>
      <c r="J796" s="2">
        <v>300</v>
      </c>
      <c r="K796" s="2">
        <v>1200</v>
      </c>
    </row>
    <row r="797" spans="1:11" x14ac:dyDescent="0.3">
      <c r="A797">
        <v>555</v>
      </c>
      <c r="B797" s="1">
        <v>45218</v>
      </c>
      <c r="C797" s="3">
        <f t="shared" si="24"/>
        <v>2023</v>
      </c>
      <c r="D797" s="3">
        <f t="shared" si="25"/>
        <v>10</v>
      </c>
      <c r="E797" t="s">
        <v>861</v>
      </c>
      <c r="F797" t="s">
        <v>1022</v>
      </c>
      <c r="G797">
        <v>25</v>
      </c>
      <c r="H797" t="s">
        <v>2</v>
      </c>
      <c r="I797" s="3">
        <v>1</v>
      </c>
      <c r="J797" s="2">
        <v>300</v>
      </c>
      <c r="K797" s="2">
        <v>300</v>
      </c>
    </row>
    <row r="798" spans="1:11" x14ac:dyDescent="0.3">
      <c r="A798">
        <v>826</v>
      </c>
      <c r="B798" s="1">
        <v>45218</v>
      </c>
      <c r="C798" s="3">
        <f t="shared" si="24"/>
        <v>2023</v>
      </c>
      <c r="D798" s="3">
        <f t="shared" si="25"/>
        <v>10</v>
      </c>
      <c r="E798" t="s">
        <v>843</v>
      </c>
      <c r="F798" t="s">
        <v>1023</v>
      </c>
      <c r="G798">
        <v>46</v>
      </c>
      <c r="H798" t="s">
        <v>3</v>
      </c>
      <c r="I798" s="3">
        <v>1</v>
      </c>
      <c r="J798" s="2">
        <v>300</v>
      </c>
      <c r="K798" s="2">
        <v>300</v>
      </c>
    </row>
    <row r="799" spans="1:11" x14ac:dyDescent="0.3">
      <c r="A799">
        <v>962</v>
      </c>
      <c r="B799" s="1">
        <v>45218</v>
      </c>
      <c r="C799" s="3">
        <f t="shared" si="24"/>
        <v>2023</v>
      </c>
      <c r="D799" s="3">
        <f t="shared" si="25"/>
        <v>10</v>
      </c>
      <c r="E799" t="s">
        <v>577</v>
      </c>
      <c r="F799" t="s">
        <v>1022</v>
      </c>
      <c r="G799">
        <v>44</v>
      </c>
      <c r="H799" t="s">
        <v>3</v>
      </c>
      <c r="I799" s="3">
        <v>2</v>
      </c>
      <c r="J799" s="2">
        <v>30</v>
      </c>
      <c r="K799" s="2">
        <v>60</v>
      </c>
    </row>
    <row r="800" spans="1:11" x14ac:dyDescent="0.3">
      <c r="A800">
        <v>249</v>
      </c>
      <c r="B800" s="1">
        <v>45219</v>
      </c>
      <c r="C800" s="3">
        <f t="shared" si="24"/>
        <v>2023</v>
      </c>
      <c r="D800" s="3">
        <f t="shared" si="25"/>
        <v>10</v>
      </c>
      <c r="E800" t="s">
        <v>998</v>
      </c>
      <c r="F800" t="s">
        <v>1022</v>
      </c>
      <c r="G800">
        <v>20</v>
      </c>
      <c r="H800" t="s">
        <v>3</v>
      </c>
      <c r="I800" s="3">
        <v>1</v>
      </c>
      <c r="J800" s="2">
        <v>50</v>
      </c>
      <c r="K800" s="2">
        <v>50</v>
      </c>
    </row>
    <row r="801" spans="1:11" x14ac:dyDescent="0.3">
      <c r="A801">
        <v>922</v>
      </c>
      <c r="B801" s="1">
        <v>45220</v>
      </c>
      <c r="C801" s="3">
        <f t="shared" si="24"/>
        <v>2023</v>
      </c>
      <c r="D801" s="3">
        <f t="shared" si="25"/>
        <v>10</v>
      </c>
      <c r="E801" t="s">
        <v>798</v>
      </c>
      <c r="F801" t="s">
        <v>1022</v>
      </c>
      <c r="G801">
        <v>41</v>
      </c>
      <c r="H801" t="s">
        <v>4</v>
      </c>
      <c r="I801" s="3">
        <v>1</v>
      </c>
      <c r="J801" s="2">
        <v>50</v>
      </c>
      <c r="K801" s="2">
        <v>50</v>
      </c>
    </row>
    <row r="802" spans="1:11" x14ac:dyDescent="0.3">
      <c r="A802">
        <v>600</v>
      </c>
      <c r="B802" s="1">
        <v>45221</v>
      </c>
      <c r="C802" s="3">
        <f t="shared" si="24"/>
        <v>2023</v>
      </c>
      <c r="D802" s="3">
        <f t="shared" si="25"/>
        <v>10</v>
      </c>
      <c r="E802" t="s">
        <v>641</v>
      </c>
      <c r="F802" t="s">
        <v>1023</v>
      </c>
      <c r="G802">
        <v>59</v>
      </c>
      <c r="H802" t="s">
        <v>2</v>
      </c>
      <c r="I802" s="3">
        <v>2</v>
      </c>
      <c r="J802" s="2">
        <v>500</v>
      </c>
      <c r="K802" s="2">
        <v>1000</v>
      </c>
    </row>
    <row r="803" spans="1:11" x14ac:dyDescent="0.3">
      <c r="A803">
        <v>680</v>
      </c>
      <c r="B803" s="1">
        <v>45221</v>
      </c>
      <c r="C803" s="3">
        <f t="shared" si="24"/>
        <v>2023</v>
      </c>
      <c r="D803" s="3">
        <f t="shared" si="25"/>
        <v>10</v>
      </c>
      <c r="E803" t="s">
        <v>305</v>
      </c>
      <c r="F803" t="s">
        <v>1023</v>
      </c>
      <c r="G803">
        <v>53</v>
      </c>
      <c r="H803" t="s">
        <v>3</v>
      </c>
      <c r="I803" s="3">
        <v>3</v>
      </c>
      <c r="J803" s="2">
        <v>300</v>
      </c>
      <c r="K803" s="2">
        <v>900</v>
      </c>
    </row>
    <row r="804" spans="1:11" x14ac:dyDescent="0.3">
      <c r="A804">
        <v>770</v>
      </c>
      <c r="B804" s="1">
        <v>45221</v>
      </c>
      <c r="C804" s="3">
        <f t="shared" si="24"/>
        <v>2023</v>
      </c>
      <c r="D804" s="3">
        <f t="shared" si="25"/>
        <v>10</v>
      </c>
      <c r="E804" t="s">
        <v>850</v>
      </c>
      <c r="F804" t="s">
        <v>1022</v>
      </c>
      <c r="G804">
        <v>32</v>
      </c>
      <c r="H804" t="s">
        <v>3</v>
      </c>
      <c r="I804" s="3">
        <v>1</v>
      </c>
      <c r="J804" s="2">
        <v>50</v>
      </c>
      <c r="K804" s="2">
        <v>50</v>
      </c>
    </row>
    <row r="805" spans="1:11" x14ac:dyDescent="0.3">
      <c r="A805">
        <v>60</v>
      </c>
      <c r="B805" s="1">
        <v>45222</v>
      </c>
      <c r="C805" s="3">
        <f t="shared" si="24"/>
        <v>2023</v>
      </c>
      <c r="D805" s="3">
        <f t="shared" si="25"/>
        <v>10</v>
      </c>
      <c r="E805" t="s">
        <v>490</v>
      </c>
      <c r="F805" t="s">
        <v>1022</v>
      </c>
      <c r="G805">
        <v>30</v>
      </c>
      <c r="H805" t="s">
        <v>2</v>
      </c>
      <c r="I805" s="3">
        <v>3</v>
      </c>
      <c r="J805" s="2">
        <v>50</v>
      </c>
      <c r="K805" s="2">
        <v>150</v>
      </c>
    </row>
    <row r="806" spans="1:11" x14ac:dyDescent="0.3">
      <c r="A806">
        <v>250</v>
      </c>
      <c r="B806" s="1">
        <v>45222</v>
      </c>
      <c r="C806" s="3">
        <f t="shared" si="24"/>
        <v>2023</v>
      </c>
      <c r="D806" s="3">
        <f t="shared" si="25"/>
        <v>10</v>
      </c>
      <c r="E806" t="s">
        <v>948</v>
      </c>
      <c r="F806" t="s">
        <v>1022</v>
      </c>
      <c r="G806">
        <v>48</v>
      </c>
      <c r="H806" t="s">
        <v>4</v>
      </c>
      <c r="I806" s="3">
        <v>1</v>
      </c>
      <c r="J806" s="2">
        <v>50</v>
      </c>
      <c r="K806" s="2">
        <v>50</v>
      </c>
    </row>
    <row r="807" spans="1:11" x14ac:dyDescent="0.3">
      <c r="A807">
        <v>516</v>
      </c>
      <c r="B807" s="1">
        <v>45222</v>
      </c>
      <c r="C807" s="3">
        <f t="shared" si="24"/>
        <v>2023</v>
      </c>
      <c r="D807" s="3">
        <f t="shared" si="25"/>
        <v>10</v>
      </c>
      <c r="E807" t="s">
        <v>193</v>
      </c>
      <c r="F807" t="s">
        <v>1022</v>
      </c>
      <c r="G807">
        <v>30</v>
      </c>
      <c r="H807" t="s">
        <v>2</v>
      </c>
      <c r="I807" s="3">
        <v>4</v>
      </c>
      <c r="J807" s="2">
        <v>25</v>
      </c>
      <c r="K807" s="2">
        <v>100</v>
      </c>
    </row>
    <row r="808" spans="1:11" x14ac:dyDescent="0.3">
      <c r="A808">
        <v>937</v>
      </c>
      <c r="B808" s="1">
        <v>45222</v>
      </c>
      <c r="C808" s="3">
        <f t="shared" si="24"/>
        <v>2023</v>
      </c>
      <c r="D808" s="3">
        <f t="shared" si="25"/>
        <v>10</v>
      </c>
      <c r="E808" t="s">
        <v>828</v>
      </c>
      <c r="F808" t="s">
        <v>1023</v>
      </c>
      <c r="G808">
        <v>62</v>
      </c>
      <c r="H808" t="s">
        <v>2</v>
      </c>
      <c r="I808" s="3">
        <v>1</v>
      </c>
      <c r="J808" s="2">
        <v>500</v>
      </c>
      <c r="K808" s="2">
        <v>500</v>
      </c>
    </row>
    <row r="809" spans="1:11" x14ac:dyDescent="0.3">
      <c r="A809">
        <v>318</v>
      </c>
      <c r="B809" s="1">
        <v>45223</v>
      </c>
      <c r="C809" s="3">
        <f t="shared" si="24"/>
        <v>2023</v>
      </c>
      <c r="D809" s="3">
        <f t="shared" si="25"/>
        <v>10</v>
      </c>
      <c r="E809" t="s">
        <v>962</v>
      </c>
      <c r="F809" t="s">
        <v>1022</v>
      </c>
      <c r="G809">
        <v>61</v>
      </c>
      <c r="H809" t="s">
        <v>3</v>
      </c>
      <c r="I809" s="3">
        <v>1</v>
      </c>
      <c r="J809" s="2">
        <v>25</v>
      </c>
      <c r="K809" s="2">
        <v>25</v>
      </c>
    </row>
    <row r="810" spans="1:11" x14ac:dyDescent="0.3">
      <c r="A810">
        <v>342</v>
      </c>
      <c r="B810" s="1">
        <v>45223</v>
      </c>
      <c r="C810" s="3">
        <f t="shared" si="24"/>
        <v>2023</v>
      </c>
      <c r="D810" s="3">
        <f t="shared" si="25"/>
        <v>10</v>
      </c>
      <c r="E810" t="s">
        <v>142</v>
      </c>
      <c r="F810" t="s">
        <v>1023</v>
      </c>
      <c r="G810">
        <v>43</v>
      </c>
      <c r="H810" t="s">
        <v>3</v>
      </c>
      <c r="I810" s="3">
        <v>4</v>
      </c>
      <c r="J810" s="2">
        <v>500</v>
      </c>
      <c r="K810" s="2">
        <v>2000</v>
      </c>
    </row>
    <row r="811" spans="1:11" x14ac:dyDescent="0.3">
      <c r="A811">
        <v>564</v>
      </c>
      <c r="B811" s="1">
        <v>45223</v>
      </c>
      <c r="C811" s="3">
        <f t="shared" si="24"/>
        <v>2023</v>
      </c>
      <c r="D811" s="3">
        <f t="shared" si="25"/>
        <v>10</v>
      </c>
      <c r="E811" t="s">
        <v>648</v>
      </c>
      <c r="F811" t="s">
        <v>1022</v>
      </c>
      <c r="G811">
        <v>50</v>
      </c>
      <c r="H811" t="s">
        <v>4</v>
      </c>
      <c r="I811" s="3">
        <v>2</v>
      </c>
      <c r="J811" s="2">
        <v>50</v>
      </c>
      <c r="K811" s="2">
        <v>100</v>
      </c>
    </row>
    <row r="812" spans="1:11" x14ac:dyDescent="0.3">
      <c r="A812">
        <v>767</v>
      </c>
      <c r="B812" s="1">
        <v>45223</v>
      </c>
      <c r="C812" s="3">
        <f t="shared" si="24"/>
        <v>2023</v>
      </c>
      <c r="D812" s="3">
        <f t="shared" si="25"/>
        <v>10</v>
      </c>
      <c r="E812" t="s">
        <v>300</v>
      </c>
      <c r="F812" t="s">
        <v>1022</v>
      </c>
      <c r="G812">
        <v>39</v>
      </c>
      <c r="H812" t="s">
        <v>2</v>
      </c>
      <c r="I812" s="3">
        <v>3</v>
      </c>
      <c r="J812" s="2">
        <v>25</v>
      </c>
      <c r="K812" s="2">
        <v>75</v>
      </c>
    </row>
    <row r="813" spans="1:11" x14ac:dyDescent="0.3">
      <c r="A813">
        <v>503</v>
      </c>
      <c r="B813" s="1">
        <v>45224</v>
      </c>
      <c r="C813" s="3">
        <f t="shared" si="24"/>
        <v>2023</v>
      </c>
      <c r="D813" s="3">
        <f t="shared" si="25"/>
        <v>10</v>
      </c>
      <c r="E813" t="s">
        <v>175</v>
      </c>
      <c r="F813" t="s">
        <v>1022</v>
      </c>
      <c r="G813">
        <v>45</v>
      </c>
      <c r="H813" t="s">
        <v>2</v>
      </c>
      <c r="I813" s="3">
        <v>4</v>
      </c>
      <c r="J813" s="2">
        <v>500</v>
      </c>
      <c r="K813" s="2">
        <v>2000</v>
      </c>
    </row>
    <row r="814" spans="1:11" x14ac:dyDescent="0.3">
      <c r="A814">
        <v>869</v>
      </c>
      <c r="B814" s="1">
        <v>45224</v>
      </c>
      <c r="C814" s="3">
        <f t="shared" si="24"/>
        <v>2023</v>
      </c>
      <c r="D814" s="3">
        <f t="shared" si="25"/>
        <v>10</v>
      </c>
      <c r="E814" t="s">
        <v>325</v>
      </c>
      <c r="F814" t="s">
        <v>1022</v>
      </c>
      <c r="G814">
        <v>37</v>
      </c>
      <c r="H814" t="s">
        <v>2</v>
      </c>
      <c r="I814" s="3">
        <v>3</v>
      </c>
      <c r="J814" s="2">
        <v>500</v>
      </c>
      <c r="K814" s="2">
        <v>1500</v>
      </c>
    </row>
    <row r="815" spans="1:11" x14ac:dyDescent="0.3">
      <c r="A815">
        <v>126</v>
      </c>
      <c r="B815" s="1">
        <v>45225</v>
      </c>
      <c r="C815" s="3">
        <f t="shared" si="24"/>
        <v>2023</v>
      </c>
      <c r="D815" s="3">
        <f t="shared" si="25"/>
        <v>10</v>
      </c>
      <c r="E815" t="s">
        <v>465</v>
      </c>
      <c r="F815" t="s">
        <v>1023</v>
      </c>
      <c r="G815">
        <v>28</v>
      </c>
      <c r="H815" t="s">
        <v>3</v>
      </c>
      <c r="I815" s="3">
        <v>3</v>
      </c>
      <c r="J815" s="2">
        <v>30</v>
      </c>
      <c r="K815" s="2">
        <v>90</v>
      </c>
    </row>
    <row r="816" spans="1:11" x14ac:dyDescent="0.3">
      <c r="A816">
        <v>349</v>
      </c>
      <c r="B816" s="1">
        <v>45225</v>
      </c>
      <c r="C816" s="3">
        <f t="shared" si="24"/>
        <v>2023</v>
      </c>
      <c r="D816" s="3">
        <f t="shared" si="25"/>
        <v>10</v>
      </c>
      <c r="E816" t="s">
        <v>905</v>
      </c>
      <c r="F816" t="s">
        <v>1023</v>
      </c>
      <c r="G816">
        <v>57</v>
      </c>
      <c r="H816" t="s">
        <v>2</v>
      </c>
      <c r="I816" s="3">
        <v>1</v>
      </c>
      <c r="J816" s="2">
        <v>50</v>
      </c>
      <c r="K816" s="2">
        <v>50</v>
      </c>
    </row>
    <row r="817" spans="1:11" x14ac:dyDescent="0.3">
      <c r="A817">
        <v>440</v>
      </c>
      <c r="B817" s="1">
        <v>45225</v>
      </c>
      <c r="C817" s="3">
        <f t="shared" si="24"/>
        <v>2023</v>
      </c>
      <c r="D817" s="3">
        <f t="shared" si="25"/>
        <v>10</v>
      </c>
      <c r="E817" t="s">
        <v>602</v>
      </c>
      <c r="F817" t="s">
        <v>1022</v>
      </c>
      <c r="G817">
        <v>64</v>
      </c>
      <c r="H817" t="s">
        <v>3</v>
      </c>
      <c r="I817" s="3">
        <v>2</v>
      </c>
      <c r="J817" s="2">
        <v>300</v>
      </c>
      <c r="K817" s="2">
        <v>600</v>
      </c>
    </row>
    <row r="818" spans="1:11" x14ac:dyDescent="0.3">
      <c r="A818">
        <v>124</v>
      </c>
      <c r="B818" s="1">
        <v>45226</v>
      </c>
      <c r="C818" s="3">
        <f t="shared" si="24"/>
        <v>2023</v>
      </c>
      <c r="D818" s="3">
        <f t="shared" si="25"/>
        <v>10</v>
      </c>
      <c r="E818" t="s">
        <v>262</v>
      </c>
      <c r="F818" t="s">
        <v>1022</v>
      </c>
      <c r="G818">
        <v>33</v>
      </c>
      <c r="H818" t="s">
        <v>3</v>
      </c>
      <c r="I818" s="3">
        <v>4</v>
      </c>
      <c r="J818" s="2">
        <v>500</v>
      </c>
      <c r="K818" s="2">
        <v>2000</v>
      </c>
    </row>
    <row r="819" spans="1:11" x14ac:dyDescent="0.3">
      <c r="A819">
        <v>324</v>
      </c>
      <c r="B819" s="1">
        <v>45226</v>
      </c>
      <c r="C819" s="3">
        <f t="shared" si="24"/>
        <v>2023</v>
      </c>
      <c r="D819" s="3">
        <f t="shared" si="25"/>
        <v>10</v>
      </c>
      <c r="E819" t="s">
        <v>460</v>
      </c>
      <c r="F819" t="s">
        <v>1023</v>
      </c>
      <c r="G819">
        <v>52</v>
      </c>
      <c r="H819" t="s">
        <v>4</v>
      </c>
      <c r="I819" s="3">
        <v>3</v>
      </c>
      <c r="J819" s="2">
        <v>50</v>
      </c>
      <c r="K819" s="2">
        <v>150</v>
      </c>
    </row>
    <row r="820" spans="1:11" x14ac:dyDescent="0.3">
      <c r="A820">
        <v>677</v>
      </c>
      <c r="B820" s="1">
        <v>45226</v>
      </c>
      <c r="C820" s="3">
        <f t="shared" si="24"/>
        <v>2023</v>
      </c>
      <c r="D820" s="3">
        <f t="shared" si="25"/>
        <v>10</v>
      </c>
      <c r="E820" t="s">
        <v>324</v>
      </c>
      <c r="F820" t="s">
        <v>1023</v>
      </c>
      <c r="G820">
        <v>19</v>
      </c>
      <c r="H820" t="s">
        <v>2</v>
      </c>
      <c r="I820" s="3">
        <v>3</v>
      </c>
      <c r="J820" s="2">
        <v>500</v>
      </c>
      <c r="K820" s="2">
        <v>1500</v>
      </c>
    </row>
    <row r="821" spans="1:11" x14ac:dyDescent="0.3">
      <c r="A821">
        <v>30</v>
      </c>
      <c r="B821" s="1">
        <v>45228</v>
      </c>
      <c r="C821" s="3">
        <f t="shared" si="24"/>
        <v>2023</v>
      </c>
      <c r="D821" s="3">
        <f t="shared" si="25"/>
        <v>10</v>
      </c>
      <c r="E821" t="s">
        <v>455</v>
      </c>
      <c r="F821" t="s">
        <v>1023</v>
      </c>
      <c r="G821">
        <v>39</v>
      </c>
      <c r="H821" t="s">
        <v>2</v>
      </c>
      <c r="I821" s="3">
        <v>3</v>
      </c>
      <c r="J821" s="2">
        <v>300</v>
      </c>
      <c r="K821" s="2">
        <v>900</v>
      </c>
    </row>
    <row r="822" spans="1:11" x14ac:dyDescent="0.3">
      <c r="A822">
        <v>226</v>
      </c>
      <c r="B822" s="1">
        <v>45228</v>
      </c>
      <c r="C822" s="3">
        <f t="shared" si="24"/>
        <v>2023</v>
      </c>
      <c r="D822" s="3">
        <f t="shared" si="25"/>
        <v>10</v>
      </c>
      <c r="E822" t="s">
        <v>985</v>
      </c>
      <c r="F822" t="s">
        <v>1023</v>
      </c>
      <c r="G822">
        <v>61</v>
      </c>
      <c r="H822" t="s">
        <v>3</v>
      </c>
      <c r="I822" s="3">
        <v>1</v>
      </c>
      <c r="J822" s="2">
        <v>50</v>
      </c>
      <c r="K822" s="2">
        <v>50</v>
      </c>
    </row>
    <row r="823" spans="1:11" x14ac:dyDescent="0.3">
      <c r="A823">
        <v>229</v>
      </c>
      <c r="B823" s="1">
        <v>45228</v>
      </c>
      <c r="C823" s="3">
        <f t="shared" si="24"/>
        <v>2023</v>
      </c>
      <c r="D823" s="3">
        <f t="shared" si="25"/>
        <v>10</v>
      </c>
      <c r="E823" t="s">
        <v>466</v>
      </c>
      <c r="F823" t="s">
        <v>1022</v>
      </c>
      <c r="G823">
        <v>58</v>
      </c>
      <c r="H823" t="s">
        <v>2</v>
      </c>
      <c r="I823" s="3">
        <v>3</v>
      </c>
      <c r="J823" s="2">
        <v>30</v>
      </c>
      <c r="K823" s="2">
        <v>90</v>
      </c>
    </row>
    <row r="824" spans="1:11" x14ac:dyDescent="0.3">
      <c r="A824">
        <v>896</v>
      </c>
      <c r="B824" s="1">
        <v>45228</v>
      </c>
      <c r="C824" s="3">
        <f t="shared" si="24"/>
        <v>2023</v>
      </c>
      <c r="D824" s="3">
        <f t="shared" si="25"/>
        <v>10</v>
      </c>
      <c r="E824" t="s">
        <v>576</v>
      </c>
      <c r="F824" t="s">
        <v>1023</v>
      </c>
      <c r="G824">
        <v>30</v>
      </c>
      <c r="H824" t="s">
        <v>4</v>
      </c>
      <c r="I824" s="3">
        <v>2</v>
      </c>
      <c r="J824" s="2">
        <v>25</v>
      </c>
      <c r="K824" s="2">
        <v>50</v>
      </c>
    </row>
    <row r="825" spans="1:11" x14ac:dyDescent="0.3">
      <c r="A825">
        <v>959</v>
      </c>
      <c r="B825" s="1">
        <v>45228</v>
      </c>
      <c r="C825" s="3">
        <f t="shared" si="24"/>
        <v>2023</v>
      </c>
      <c r="D825" s="3">
        <f t="shared" si="25"/>
        <v>10</v>
      </c>
      <c r="E825" t="s">
        <v>575</v>
      </c>
      <c r="F825" t="s">
        <v>1023</v>
      </c>
      <c r="G825">
        <v>42</v>
      </c>
      <c r="H825" t="s">
        <v>4</v>
      </c>
      <c r="I825" s="3">
        <v>2</v>
      </c>
      <c r="J825" s="2">
        <v>30</v>
      </c>
      <c r="K825" s="2">
        <v>60</v>
      </c>
    </row>
    <row r="826" spans="1:11" x14ac:dyDescent="0.3">
      <c r="A826">
        <v>998</v>
      </c>
      <c r="B826" s="1">
        <v>45228</v>
      </c>
      <c r="C826" s="3">
        <f t="shared" si="24"/>
        <v>2023</v>
      </c>
      <c r="D826" s="3">
        <f t="shared" si="25"/>
        <v>10</v>
      </c>
      <c r="E826" t="s">
        <v>101</v>
      </c>
      <c r="F826" t="s">
        <v>1023</v>
      </c>
      <c r="G826">
        <v>23</v>
      </c>
      <c r="H826" t="s">
        <v>2</v>
      </c>
      <c r="I826" s="3">
        <v>4</v>
      </c>
      <c r="J826" s="2">
        <v>25</v>
      </c>
      <c r="K826" s="2">
        <v>100</v>
      </c>
    </row>
    <row r="827" spans="1:11" x14ac:dyDescent="0.3">
      <c r="A827">
        <v>12</v>
      </c>
      <c r="B827" s="1">
        <v>45229</v>
      </c>
      <c r="C827" s="3">
        <f t="shared" si="24"/>
        <v>2023</v>
      </c>
      <c r="D827" s="3">
        <f t="shared" si="25"/>
        <v>10</v>
      </c>
      <c r="E827" t="s">
        <v>482</v>
      </c>
      <c r="F827" t="s">
        <v>1022</v>
      </c>
      <c r="G827">
        <v>35</v>
      </c>
      <c r="H827" t="s">
        <v>2</v>
      </c>
      <c r="I827" s="3">
        <v>3</v>
      </c>
      <c r="J827" s="2">
        <v>25</v>
      </c>
      <c r="K827" s="2">
        <v>75</v>
      </c>
    </row>
    <row r="828" spans="1:11" x14ac:dyDescent="0.3">
      <c r="A828">
        <v>710</v>
      </c>
      <c r="B828" s="1">
        <v>45230</v>
      </c>
      <c r="C828" s="3">
        <f t="shared" si="24"/>
        <v>2023</v>
      </c>
      <c r="D828" s="3">
        <f t="shared" si="25"/>
        <v>10</v>
      </c>
      <c r="E828" t="s">
        <v>336</v>
      </c>
      <c r="F828" t="s">
        <v>1023</v>
      </c>
      <c r="G828">
        <v>26</v>
      </c>
      <c r="H828" t="s">
        <v>4</v>
      </c>
      <c r="I828" s="3">
        <v>3</v>
      </c>
      <c r="J828" s="2">
        <v>500</v>
      </c>
      <c r="K828" s="2">
        <v>1500</v>
      </c>
    </row>
    <row r="829" spans="1:11" x14ac:dyDescent="0.3">
      <c r="A829">
        <v>776</v>
      </c>
      <c r="B829" s="1">
        <v>45230</v>
      </c>
      <c r="C829" s="3">
        <f t="shared" si="24"/>
        <v>2023</v>
      </c>
      <c r="D829" s="3">
        <f t="shared" si="25"/>
        <v>10</v>
      </c>
      <c r="E829" t="s">
        <v>306</v>
      </c>
      <c r="F829" t="s">
        <v>1022</v>
      </c>
      <c r="G829">
        <v>35</v>
      </c>
      <c r="H829" t="s">
        <v>3</v>
      </c>
      <c r="I829" s="3">
        <v>3</v>
      </c>
      <c r="J829" s="2">
        <v>30</v>
      </c>
      <c r="K829" s="2">
        <v>90</v>
      </c>
    </row>
    <row r="830" spans="1:11" x14ac:dyDescent="0.3">
      <c r="A830">
        <v>817</v>
      </c>
      <c r="B830" s="1">
        <v>45230</v>
      </c>
      <c r="C830" s="3">
        <f t="shared" si="24"/>
        <v>2023</v>
      </c>
      <c r="D830" s="3">
        <f t="shared" si="25"/>
        <v>10</v>
      </c>
      <c r="E830" t="s">
        <v>61</v>
      </c>
      <c r="F830" t="s">
        <v>1022</v>
      </c>
      <c r="G830">
        <v>30</v>
      </c>
      <c r="H830" t="s">
        <v>2</v>
      </c>
      <c r="I830" s="3">
        <v>4</v>
      </c>
      <c r="J830" s="2">
        <v>50</v>
      </c>
      <c r="K830" s="2">
        <v>200</v>
      </c>
    </row>
    <row r="831" spans="1:11" x14ac:dyDescent="0.3">
      <c r="A831">
        <v>334</v>
      </c>
      <c r="B831" s="1">
        <v>45231</v>
      </c>
      <c r="C831" s="3">
        <f t="shared" si="24"/>
        <v>2023</v>
      </c>
      <c r="D831" s="3">
        <f t="shared" si="25"/>
        <v>11</v>
      </c>
      <c r="E831" t="s">
        <v>408</v>
      </c>
      <c r="F831" t="s">
        <v>1022</v>
      </c>
      <c r="G831">
        <v>31</v>
      </c>
      <c r="H831" t="s">
        <v>4</v>
      </c>
      <c r="I831" s="3">
        <v>3</v>
      </c>
      <c r="J831" s="2">
        <v>300</v>
      </c>
      <c r="K831" s="2">
        <v>900</v>
      </c>
    </row>
    <row r="832" spans="1:11" x14ac:dyDescent="0.3">
      <c r="A832">
        <v>343</v>
      </c>
      <c r="B832" s="1">
        <v>45231</v>
      </c>
      <c r="C832" s="3">
        <f t="shared" si="24"/>
        <v>2023</v>
      </c>
      <c r="D832" s="3">
        <f t="shared" si="25"/>
        <v>11</v>
      </c>
      <c r="E832" t="s">
        <v>601</v>
      </c>
      <c r="F832" t="s">
        <v>1022</v>
      </c>
      <c r="G832">
        <v>21</v>
      </c>
      <c r="H832" t="s">
        <v>4</v>
      </c>
      <c r="I832" s="3">
        <v>2</v>
      </c>
      <c r="J832" s="2">
        <v>25</v>
      </c>
      <c r="K832" s="2">
        <v>50</v>
      </c>
    </row>
    <row r="833" spans="1:11" x14ac:dyDescent="0.3">
      <c r="A833">
        <v>628</v>
      </c>
      <c r="B833" s="1">
        <v>45231</v>
      </c>
      <c r="C833" s="3">
        <f t="shared" si="24"/>
        <v>2023</v>
      </c>
      <c r="D833" s="3">
        <f t="shared" si="25"/>
        <v>11</v>
      </c>
      <c r="E833" t="s">
        <v>136</v>
      </c>
      <c r="F833" t="s">
        <v>1023</v>
      </c>
      <c r="G833">
        <v>19</v>
      </c>
      <c r="H833" t="s">
        <v>2</v>
      </c>
      <c r="I833" s="3">
        <v>4</v>
      </c>
      <c r="J833" s="2">
        <v>50</v>
      </c>
      <c r="K833" s="2">
        <v>200</v>
      </c>
    </row>
    <row r="834" spans="1:11" x14ac:dyDescent="0.3">
      <c r="A834">
        <v>983</v>
      </c>
      <c r="B834" s="1">
        <v>45231</v>
      </c>
      <c r="C834" s="3">
        <f t="shared" ref="C834:C897" si="26">YEAR(B834)</f>
        <v>2023</v>
      </c>
      <c r="D834" s="3">
        <f t="shared" ref="D834:D897" si="27">MONTH(B834)</f>
        <v>11</v>
      </c>
      <c r="E834" t="s">
        <v>839</v>
      </c>
      <c r="F834" t="s">
        <v>1023</v>
      </c>
      <c r="G834">
        <v>29</v>
      </c>
      <c r="H834" t="s">
        <v>3</v>
      </c>
      <c r="I834" s="3">
        <v>1</v>
      </c>
      <c r="J834" s="2">
        <v>300</v>
      </c>
      <c r="K834" s="2">
        <v>300</v>
      </c>
    </row>
    <row r="835" spans="1:11" x14ac:dyDescent="0.3">
      <c r="A835">
        <v>141</v>
      </c>
      <c r="B835" s="1">
        <v>45232</v>
      </c>
      <c r="C835" s="3">
        <f t="shared" si="26"/>
        <v>2023</v>
      </c>
      <c r="D835" s="3">
        <f t="shared" si="27"/>
        <v>11</v>
      </c>
      <c r="E835" t="s">
        <v>935</v>
      </c>
      <c r="F835" t="s">
        <v>1023</v>
      </c>
      <c r="G835">
        <v>22</v>
      </c>
      <c r="H835" t="s">
        <v>4</v>
      </c>
      <c r="I835" s="3">
        <v>1</v>
      </c>
      <c r="J835" s="2">
        <v>50</v>
      </c>
      <c r="K835" s="2">
        <v>50</v>
      </c>
    </row>
    <row r="836" spans="1:11" x14ac:dyDescent="0.3">
      <c r="A836">
        <v>145</v>
      </c>
      <c r="B836" s="1">
        <v>45232</v>
      </c>
      <c r="C836" s="3">
        <f t="shared" si="26"/>
        <v>2023</v>
      </c>
      <c r="D836" s="3">
        <f t="shared" si="27"/>
        <v>11</v>
      </c>
      <c r="E836" t="s">
        <v>477</v>
      </c>
      <c r="F836" t="s">
        <v>1023</v>
      </c>
      <c r="G836">
        <v>39</v>
      </c>
      <c r="H836" t="s">
        <v>3</v>
      </c>
      <c r="I836" s="3">
        <v>3</v>
      </c>
      <c r="J836" s="2">
        <v>25</v>
      </c>
      <c r="K836" s="2">
        <v>75</v>
      </c>
    </row>
    <row r="837" spans="1:11" x14ac:dyDescent="0.3">
      <c r="A837">
        <v>507</v>
      </c>
      <c r="B837" s="1">
        <v>45232</v>
      </c>
      <c r="C837" s="3">
        <f t="shared" si="26"/>
        <v>2023</v>
      </c>
      <c r="D837" s="3">
        <f t="shared" si="27"/>
        <v>11</v>
      </c>
      <c r="E837" t="s">
        <v>416</v>
      </c>
      <c r="F837" t="s">
        <v>1023</v>
      </c>
      <c r="G837">
        <v>37</v>
      </c>
      <c r="H837" t="s">
        <v>4</v>
      </c>
      <c r="I837" s="3">
        <v>3</v>
      </c>
      <c r="J837" s="2">
        <v>500</v>
      </c>
      <c r="K837" s="2">
        <v>1500</v>
      </c>
    </row>
    <row r="838" spans="1:11" x14ac:dyDescent="0.3">
      <c r="A838">
        <v>841</v>
      </c>
      <c r="B838" s="1">
        <v>45232</v>
      </c>
      <c r="C838" s="3">
        <f t="shared" si="26"/>
        <v>2023</v>
      </c>
      <c r="D838" s="3">
        <f t="shared" si="27"/>
        <v>11</v>
      </c>
      <c r="E838" t="s">
        <v>69</v>
      </c>
      <c r="F838" t="s">
        <v>1022</v>
      </c>
      <c r="G838">
        <v>31</v>
      </c>
      <c r="H838" t="s">
        <v>4</v>
      </c>
      <c r="I838" s="3">
        <v>4</v>
      </c>
      <c r="J838" s="2">
        <v>25</v>
      </c>
      <c r="K838" s="2">
        <v>100</v>
      </c>
    </row>
    <row r="839" spans="1:11" x14ac:dyDescent="0.3">
      <c r="A839">
        <v>898</v>
      </c>
      <c r="B839" s="1">
        <v>45232</v>
      </c>
      <c r="C839" s="3">
        <f t="shared" si="26"/>
        <v>2023</v>
      </c>
      <c r="D839" s="3">
        <f t="shared" si="27"/>
        <v>11</v>
      </c>
      <c r="E839" t="s">
        <v>295</v>
      </c>
      <c r="F839" t="s">
        <v>1023</v>
      </c>
      <c r="G839">
        <v>42</v>
      </c>
      <c r="H839" t="s">
        <v>3</v>
      </c>
      <c r="I839" s="3">
        <v>3</v>
      </c>
      <c r="J839" s="2">
        <v>30</v>
      </c>
      <c r="K839" s="2">
        <v>90</v>
      </c>
    </row>
    <row r="840" spans="1:11" x14ac:dyDescent="0.3">
      <c r="A840">
        <v>951</v>
      </c>
      <c r="B840" s="1">
        <v>45232</v>
      </c>
      <c r="C840" s="3">
        <f t="shared" si="26"/>
        <v>2023</v>
      </c>
      <c r="D840" s="3">
        <f t="shared" si="27"/>
        <v>11</v>
      </c>
      <c r="E840" t="s">
        <v>571</v>
      </c>
      <c r="F840" t="s">
        <v>1022</v>
      </c>
      <c r="G840">
        <v>33</v>
      </c>
      <c r="H840" t="s">
        <v>2</v>
      </c>
      <c r="I840" s="3">
        <v>2</v>
      </c>
      <c r="J840" s="2">
        <v>50</v>
      </c>
      <c r="K840" s="2">
        <v>100</v>
      </c>
    </row>
    <row r="841" spans="1:11" x14ac:dyDescent="0.3">
      <c r="A841">
        <v>181</v>
      </c>
      <c r="B841" s="1">
        <v>45233</v>
      </c>
      <c r="C841" s="3">
        <f t="shared" si="26"/>
        <v>2023</v>
      </c>
      <c r="D841" s="3">
        <f t="shared" si="27"/>
        <v>11</v>
      </c>
      <c r="E841" t="s">
        <v>241</v>
      </c>
      <c r="F841" t="s">
        <v>1022</v>
      </c>
      <c r="G841">
        <v>19</v>
      </c>
      <c r="H841" t="s">
        <v>4</v>
      </c>
      <c r="I841" s="3">
        <v>4</v>
      </c>
      <c r="J841" s="2">
        <v>300</v>
      </c>
      <c r="K841" s="2">
        <v>1200</v>
      </c>
    </row>
    <row r="842" spans="1:11" x14ac:dyDescent="0.3">
      <c r="A842">
        <v>784</v>
      </c>
      <c r="B842" s="1">
        <v>45234</v>
      </c>
      <c r="C842" s="3">
        <f t="shared" si="26"/>
        <v>2023</v>
      </c>
      <c r="D842" s="3">
        <f t="shared" si="27"/>
        <v>11</v>
      </c>
      <c r="E842" t="s">
        <v>779</v>
      </c>
      <c r="F842" t="s">
        <v>1023</v>
      </c>
      <c r="G842">
        <v>34</v>
      </c>
      <c r="H842" t="s">
        <v>4</v>
      </c>
      <c r="I842" s="3">
        <v>1</v>
      </c>
      <c r="J842" s="2">
        <v>500</v>
      </c>
      <c r="K842" s="2">
        <v>500</v>
      </c>
    </row>
    <row r="843" spans="1:11" x14ac:dyDescent="0.3">
      <c r="A843">
        <v>20</v>
      </c>
      <c r="B843" s="1">
        <v>45235</v>
      </c>
      <c r="C843" s="3">
        <f t="shared" si="26"/>
        <v>2023</v>
      </c>
      <c r="D843" s="3">
        <f t="shared" si="27"/>
        <v>11</v>
      </c>
      <c r="E843" t="s">
        <v>444</v>
      </c>
      <c r="F843" t="s">
        <v>1022</v>
      </c>
      <c r="G843">
        <v>22</v>
      </c>
      <c r="H843" t="s">
        <v>3</v>
      </c>
      <c r="I843" s="3">
        <v>3</v>
      </c>
      <c r="J843" s="2">
        <v>300</v>
      </c>
      <c r="K843" s="2">
        <v>900</v>
      </c>
    </row>
    <row r="844" spans="1:11" x14ac:dyDescent="0.3">
      <c r="A844">
        <v>690</v>
      </c>
      <c r="B844" s="1">
        <v>45235</v>
      </c>
      <c r="C844" s="3">
        <f t="shared" si="26"/>
        <v>2023</v>
      </c>
      <c r="D844" s="3">
        <f t="shared" si="27"/>
        <v>11</v>
      </c>
      <c r="E844" t="s">
        <v>12</v>
      </c>
      <c r="F844" t="s">
        <v>1023</v>
      </c>
      <c r="G844">
        <v>52</v>
      </c>
      <c r="H844" t="s">
        <v>3</v>
      </c>
      <c r="I844" s="3">
        <v>3</v>
      </c>
      <c r="J844" s="2">
        <v>300</v>
      </c>
      <c r="K844" s="2">
        <v>900</v>
      </c>
    </row>
    <row r="845" spans="1:11" x14ac:dyDescent="0.3">
      <c r="A845">
        <v>47</v>
      </c>
      <c r="B845" s="1">
        <v>45236</v>
      </c>
      <c r="C845" s="3">
        <f t="shared" si="26"/>
        <v>2023</v>
      </c>
      <c r="D845" s="3">
        <f t="shared" si="27"/>
        <v>11</v>
      </c>
      <c r="E845" t="s">
        <v>497</v>
      </c>
      <c r="F845" t="s">
        <v>1023</v>
      </c>
      <c r="G845">
        <v>40</v>
      </c>
      <c r="H845" t="s">
        <v>2</v>
      </c>
      <c r="I845" s="3">
        <v>3</v>
      </c>
      <c r="J845" s="2">
        <v>500</v>
      </c>
      <c r="K845" s="2">
        <v>1500</v>
      </c>
    </row>
    <row r="846" spans="1:11" x14ac:dyDescent="0.3">
      <c r="A846">
        <v>405</v>
      </c>
      <c r="B846" s="1">
        <v>45236</v>
      </c>
      <c r="C846" s="3">
        <f t="shared" si="26"/>
        <v>2023</v>
      </c>
      <c r="D846" s="3">
        <f t="shared" si="27"/>
        <v>11</v>
      </c>
      <c r="E846" t="s">
        <v>184</v>
      </c>
      <c r="F846" t="s">
        <v>1023</v>
      </c>
      <c r="G846">
        <v>25</v>
      </c>
      <c r="H846" t="s">
        <v>3</v>
      </c>
      <c r="I846" s="3">
        <v>4</v>
      </c>
      <c r="J846" s="2">
        <v>300</v>
      </c>
      <c r="K846" s="2">
        <v>1200</v>
      </c>
    </row>
    <row r="847" spans="1:11" x14ac:dyDescent="0.3">
      <c r="A847">
        <v>205</v>
      </c>
      <c r="B847" s="1">
        <v>45237</v>
      </c>
      <c r="C847" s="3">
        <f t="shared" si="26"/>
        <v>2023</v>
      </c>
      <c r="D847" s="3">
        <f t="shared" si="27"/>
        <v>11</v>
      </c>
      <c r="E847" t="s">
        <v>972</v>
      </c>
      <c r="F847" t="s">
        <v>1023</v>
      </c>
      <c r="G847">
        <v>43</v>
      </c>
      <c r="H847" t="s">
        <v>3</v>
      </c>
      <c r="I847" s="3">
        <v>1</v>
      </c>
      <c r="J847" s="2">
        <v>25</v>
      </c>
      <c r="K847" s="2">
        <v>25</v>
      </c>
    </row>
    <row r="848" spans="1:11" x14ac:dyDescent="0.3">
      <c r="A848">
        <v>512</v>
      </c>
      <c r="B848" s="1">
        <v>45237</v>
      </c>
      <c r="C848" s="3">
        <f t="shared" si="26"/>
        <v>2023</v>
      </c>
      <c r="D848" s="3">
        <f t="shared" si="27"/>
        <v>11</v>
      </c>
      <c r="E848" t="s">
        <v>892</v>
      </c>
      <c r="F848" t="s">
        <v>1023</v>
      </c>
      <c r="G848">
        <v>57</v>
      </c>
      <c r="H848" t="s">
        <v>2</v>
      </c>
      <c r="I848" s="3">
        <v>1</v>
      </c>
      <c r="J848" s="2">
        <v>25</v>
      </c>
      <c r="K848" s="2">
        <v>25</v>
      </c>
    </row>
    <row r="849" spans="1:11" x14ac:dyDescent="0.3">
      <c r="A849">
        <v>565</v>
      </c>
      <c r="B849" s="1">
        <v>45237</v>
      </c>
      <c r="C849" s="3">
        <f t="shared" si="26"/>
        <v>2023</v>
      </c>
      <c r="D849" s="3">
        <f t="shared" si="27"/>
        <v>11</v>
      </c>
      <c r="E849" t="s">
        <v>650</v>
      </c>
      <c r="F849" t="s">
        <v>1023</v>
      </c>
      <c r="G849">
        <v>45</v>
      </c>
      <c r="H849" t="s">
        <v>2</v>
      </c>
      <c r="I849" s="3">
        <v>2</v>
      </c>
      <c r="J849" s="2">
        <v>30</v>
      </c>
      <c r="K849" s="2">
        <v>60</v>
      </c>
    </row>
    <row r="850" spans="1:11" x14ac:dyDescent="0.3">
      <c r="A850">
        <v>761</v>
      </c>
      <c r="B850" s="1">
        <v>45237</v>
      </c>
      <c r="C850" s="3">
        <f t="shared" si="26"/>
        <v>2023</v>
      </c>
      <c r="D850" s="3">
        <f t="shared" si="27"/>
        <v>11</v>
      </c>
      <c r="E850" t="s">
        <v>802</v>
      </c>
      <c r="F850" t="s">
        <v>1023</v>
      </c>
      <c r="G850">
        <v>33</v>
      </c>
      <c r="H850" t="s">
        <v>3</v>
      </c>
      <c r="I850" s="3">
        <v>1</v>
      </c>
      <c r="J850" s="2">
        <v>500</v>
      </c>
      <c r="K850" s="2">
        <v>500</v>
      </c>
    </row>
    <row r="851" spans="1:11" x14ac:dyDescent="0.3">
      <c r="A851">
        <v>762</v>
      </c>
      <c r="B851" s="1">
        <v>45237</v>
      </c>
      <c r="C851" s="3">
        <f t="shared" si="26"/>
        <v>2023</v>
      </c>
      <c r="D851" s="3">
        <f t="shared" si="27"/>
        <v>11</v>
      </c>
      <c r="E851" t="s">
        <v>552</v>
      </c>
      <c r="F851" t="s">
        <v>1023</v>
      </c>
      <c r="G851">
        <v>24</v>
      </c>
      <c r="H851" t="s">
        <v>4</v>
      </c>
      <c r="I851" s="3">
        <v>2</v>
      </c>
      <c r="J851" s="2">
        <v>25</v>
      </c>
      <c r="K851" s="2">
        <v>50</v>
      </c>
    </row>
    <row r="852" spans="1:11" x14ac:dyDescent="0.3">
      <c r="A852">
        <v>950</v>
      </c>
      <c r="B852" s="1">
        <v>45237</v>
      </c>
      <c r="C852" s="3">
        <f t="shared" si="26"/>
        <v>2023</v>
      </c>
      <c r="D852" s="3">
        <f t="shared" si="27"/>
        <v>11</v>
      </c>
      <c r="E852" t="s">
        <v>315</v>
      </c>
      <c r="F852" t="s">
        <v>1022</v>
      </c>
      <c r="G852">
        <v>36</v>
      </c>
      <c r="H852" t="s">
        <v>3</v>
      </c>
      <c r="I852" s="3">
        <v>3</v>
      </c>
      <c r="J852" s="2">
        <v>300</v>
      </c>
      <c r="K852" s="2">
        <v>900</v>
      </c>
    </row>
    <row r="853" spans="1:11" x14ac:dyDescent="0.3">
      <c r="A853">
        <v>86</v>
      </c>
      <c r="B853" s="1">
        <v>45238</v>
      </c>
      <c r="C853" s="3">
        <f t="shared" si="26"/>
        <v>2023</v>
      </c>
      <c r="D853" s="3">
        <f t="shared" si="27"/>
        <v>11</v>
      </c>
      <c r="E853" t="s">
        <v>478</v>
      </c>
      <c r="F853" t="s">
        <v>1022</v>
      </c>
      <c r="G853">
        <v>19</v>
      </c>
      <c r="H853" t="s">
        <v>2</v>
      </c>
      <c r="I853" s="3">
        <v>3</v>
      </c>
      <c r="J853" s="2">
        <v>30</v>
      </c>
      <c r="K853" s="2">
        <v>90</v>
      </c>
    </row>
    <row r="854" spans="1:11" x14ac:dyDescent="0.3">
      <c r="A854">
        <v>173</v>
      </c>
      <c r="B854" s="1">
        <v>45238</v>
      </c>
      <c r="C854" s="3">
        <f t="shared" si="26"/>
        <v>2023</v>
      </c>
      <c r="D854" s="3">
        <f t="shared" si="27"/>
        <v>11</v>
      </c>
      <c r="E854" t="s">
        <v>239</v>
      </c>
      <c r="F854" t="s">
        <v>1022</v>
      </c>
      <c r="G854">
        <v>64</v>
      </c>
      <c r="H854" t="s">
        <v>4</v>
      </c>
      <c r="I854" s="3">
        <v>4</v>
      </c>
      <c r="J854" s="2">
        <v>30</v>
      </c>
      <c r="K854" s="2">
        <v>120</v>
      </c>
    </row>
    <row r="855" spans="1:11" x14ac:dyDescent="0.3">
      <c r="A855">
        <v>595</v>
      </c>
      <c r="B855" s="1">
        <v>45239</v>
      </c>
      <c r="C855" s="3">
        <f t="shared" si="26"/>
        <v>2023</v>
      </c>
      <c r="D855" s="3">
        <f t="shared" si="27"/>
        <v>11</v>
      </c>
      <c r="E855" t="s">
        <v>132</v>
      </c>
      <c r="F855" t="s">
        <v>1023</v>
      </c>
      <c r="G855">
        <v>18</v>
      </c>
      <c r="H855" t="s">
        <v>3</v>
      </c>
      <c r="I855" s="3">
        <v>4</v>
      </c>
      <c r="J855" s="2">
        <v>500</v>
      </c>
      <c r="K855" s="2">
        <v>2000</v>
      </c>
    </row>
    <row r="856" spans="1:11" x14ac:dyDescent="0.3">
      <c r="A856">
        <v>827</v>
      </c>
      <c r="B856" s="1">
        <v>45239</v>
      </c>
      <c r="C856" s="3">
        <f t="shared" si="26"/>
        <v>2023</v>
      </c>
      <c r="D856" s="3">
        <f t="shared" si="27"/>
        <v>11</v>
      </c>
      <c r="E856" t="s">
        <v>338</v>
      </c>
      <c r="F856" t="s">
        <v>1022</v>
      </c>
      <c r="G856">
        <v>61</v>
      </c>
      <c r="H856" t="s">
        <v>2</v>
      </c>
      <c r="I856" s="3">
        <v>3</v>
      </c>
      <c r="J856" s="2">
        <v>300</v>
      </c>
      <c r="K856" s="2">
        <v>900</v>
      </c>
    </row>
    <row r="857" spans="1:11" x14ac:dyDescent="0.3">
      <c r="A857">
        <v>965</v>
      </c>
      <c r="B857" s="1">
        <v>45239</v>
      </c>
      <c r="C857" s="3">
        <f t="shared" si="26"/>
        <v>2023</v>
      </c>
      <c r="D857" s="3">
        <f t="shared" si="27"/>
        <v>11</v>
      </c>
      <c r="E857" t="s">
        <v>39</v>
      </c>
      <c r="F857" t="s">
        <v>1022</v>
      </c>
      <c r="G857">
        <v>22</v>
      </c>
      <c r="H857" t="s">
        <v>3</v>
      </c>
      <c r="I857" s="3">
        <v>4</v>
      </c>
      <c r="J857" s="2">
        <v>50</v>
      </c>
      <c r="K857" s="2">
        <v>200</v>
      </c>
    </row>
    <row r="858" spans="1:11" x14ac:dyDescent="0.3">
      <c r="A858">
        <v>388</v>
      </c>
      <c r="B858" s="1">
        <v>45240</v>
      </c>
      <c r="C858" s="3">
        <f t="shared" si="26"/>
        <v>2023</v>
      </c>
      <c r="D858" s="3">
        <f t="shared" si="27"/>
        <v>11</v>
      </c>
      <c r="E858" t="s">
        <v>886</v>
      </c>
      <c r="F858" t="s">
        <v>1022</v>
      </c>
      <c r="G858">
        <v>50</v>
      </c>
      <c r="H858" t="s">
        <v>4</v>
      </c>
      <c r="I858" s="3">
        <v>1</v>
      </c>
      <c r="J858" s="2">
        <v>25</v>
      </c>
      <c r="K858" s="2">
        <v>25</v>
      </c>
    </row>
    <row r="859" spans="1:11" x14ac:dyDescent="0.3">
      <c r="A859">
        <v>631</v>
      </c>
      <c r="B859" s="1">
        <v>45240</v>
      </c>
      <c r="C859" s="3">
        <f t="shared" si="26"/>
        <v>2023</v>
      </c>
      <c r="D859" s="3">
        <f t="shared" si="27"/>
        <v>11</v>
      </c>
      <c r="E859" t="s">
        <v>393</v>
      </c>
      <c r="F859" t="s">
        <v>1022</v>
      </c>
      <c r="G859">
        <v>56</v>
      </c>
      <c r="H859" t="s">
        <v>4</v>
      </c>
      <c r="I859" s="3">
        <v>3</v>
      </c>
      <c r="J859" s="2">
        <v>30</v>
      </c>
      <c r="K859" s="2">
        <v>90</v>
      </c>
    </row>
    <row r="860" spans="1:11" x14ac:dyDescent="0.3">
      <c r="A860">
        <v>554</v>
      </c>
      <c r="B860" s="1">
        <v>45242</v>
      </c>
      <c r="C860" s="3">
        <f t="shared" si="26"/>
        <v>2023</v>
      </c>
      <c r="D860" s="3">
        <f t="shared" si="27"/>
        <v>11</v>
      </c>
      <c r="E860" t="s">
        <v>442</v>
      </c>
      <c r="F860" t="s">
        <v>1023</v>
      </c>
      <c r="G860">
        <v>46</v>
      </c>
      <c r="H860" t="s">
        <v>2</v>
      </c>
      <c r="I860" s="3">
        <v>3</v>
      </c>
      <c r="J860" s="2">
        <v>50</v>
      </c>
      <c r="K860" s="2">
        <v>150</v>
      </c>
    </row>
    <row r="861" spans="1:11" x14ac:dyDescent="0.3">
      <c r="A861">
        <v>812</v>
      </c>
      <c r="B861" s="1">
        <v>45242</v>
      </c>
      <c r="C861" s="3">
        <f t="shared" si="26"/>
        <v>2023</v>
      </c>
      <c r="D861" s="3">
        <f t="shared" si="27"/>
        <v>11</v>
      </c>
      <c r="E861" t="s">
        <v>326</v>
      </c>
      <c r="F861" t="s">
        <v>1022</v>
      </c>
      <c r="G861">
        <v>19</v>
      </c>
      <c r="H861" t="s">
        <v>4</v>
      </c>
      <c r="I861" s="3">
        <v>3</v>
      </c>
      <c r="J861" s="2">
        <v>25</v>
      </c>
      <c r="K861" s="2">
        <v>75</v>
      </c>
    </row>
    <row r="862" spans="1:11" x14ac:dyDescent="0.3">
      <c r="A862">
        <v>58</v>
      </c>
      <c r="B862" s="1">
        <v>45243</v>
      </c>
      <c r="C862" s="3">
        <f t="shared" si="26"/>
        <v>2023</v>
      </c>
      <c r="D862" s="3">
        <f t="shared" si="27"/>
        <v>11</v>
      </c>
      <c r="E862" t="s">
        <v>220</v>
      </c>
      <c r="F862" t="s">
        <v>1022</v>
      </c>
      <c r="G862">
        <v>18</v>
      </c>
      <c r="H862" t="s">
        <v>3</v>
      </c>
      <c r="I862" s="3">
        <v>4</v>
      </c>
      <c r="J862" s="2">
        <v>300</v>
      </c>
      <c r="K862" s="2">
        <v>1200</v>
      </c>
    </row>
    <row r="863" spans="1:11" x14ac:dyDescent="0.3">
      <c r="A863">
        <v>952</v>
      </c>
      <c r="B863" s="1">
        <v>45243</v>
      </c>
      <c r="C863" s="3">
        <f t="shared" si="26"/>
        <v>2023</v>
      </c>
      <c r="D863" s="3">
        <f t="shared" si="27"/>
        <v>11</v>
      </c>
      <c r="E863" t="s">
        <v>764</v>
      </c>
      <c r="F863" t="s">
        <v>1023</v>
      </c>
      <c r="G863">
        <v>57</v>
      </c>
      <c r="H863" t="s">
        <v>3</v>
      </c>
      <c r="I863" s="3">
        <v>1</v>
      </c>
      <c r="J863" s="2">
        <v>25</v>
      </c>
      <c r="K863" s="2">
        <v>25</v>
      </c>
    </row>
    <row r="864" spans="1:11" x14ac:dyDescent="0.3">
      <c r="A864">
        <v>345</v>
      </c>
      <c r="B864" s="1">
        <v>45244</v>
      </c>
      <c r="C864" s="3">
        <f t="shared" si="26"/>
        <v>2023</v>
      </c>
      <c r="D864" s="3">
        <f t="shared" si="27"/>
        <v>11</v>
      </c>
      <c r="E864" t="s">
        <v>900</v>
      </c>
      <c r="F864" t="s">
        <v>1022</v>
      </c>
      <c r="G864">
        <v>62</v>
      </c>
      <c r="H864" t="s">
        <v>4</v>
      </c>
      <c r="I864" s="3">
        <v>1</v>
      </c>
      <c r="J864" s="2">
        <v>30</v>
      </c>
      <c r="K864" s="2">
        <v>30</v>
      </c>
    </row>
    <row r="865" spans="1:11" x14ac:dyDescent="0.3">
      <c r="A865">
        <v>458</v>
      </c>
      <c r="B865" s="1">
        <v>45244</v>
      </c>
      <c r="C865" s="3">
        <f t="shared" si="26"/>
        <v>2023</v>
      </c>
      <c r="D865" s="3">
        <f t="shared" si="27"/>
        <v>11</v>
      </c>
      <c r="E865" t="s">
        <v>143</v>
      </c>
      <c r="F865" t="s">
        <v>1023</v>
      </c>
      <c r="G865">
        <v>39</v>
      </c>
      <c r="H865" t="s">
        <v>4</v>
      </c>
      <c r="I865" s="3">
        <v>4</v>
      </c>
      <c r="J865" s="2">
        <v>25</v>
      </c>
      <c r="K865" s="2">
        <v>100</v>
      </c>
    </row>
    <row r="866" spans="1:11" x14ac:dyDescent="0.3">
      <c r="A866">
        <v>582</v>
      </c>
      <c r="B866" s="1">
        <v>45244</v>
      </c>
      <c r="C866" s="3">
        <f t="shared" si="26"/>
        <v>2023</v>
      </c>
      <c r="D866" s="3">
        <f t="shared" si="27"/>
        <v>11</v>
      </c>
      <c r="E866" t="s">
        <v>407</v>
      </c>
      <c r="F866" t="s">
        <v>1022</v>
      </c>
      <c r="G866">
        <v>35</v>
      </c>
      <c r="H866" t="s">
        <v>3</v>
      </c>
      <c r="I866" s="3">
        <v>3</v>
      </c>
      <c r="J866" s="2">
        <v>300</v>
      </c>
      <c r="K866" s="2">
        <v>900</v>
      </c>
    </row>
    <row r="867" spans="1:11" x14ac:dyDescent="0.3">
      <c r="A867">
        <v>963</v>
      </c>
      <c r="B867" s="1">
        <v>45244</v>
      </c>
      <c r="C867" s="3">
        <f t="shared" si="26"/>
        <v>2023</v>
      </c>
      <c r="D867" s="3">
        <f t="shared" si="27"/>
        <v>11</v>
      </c>
      <c r="E867" t="s">
        <v>819</v>
      </c>
      <c r="F867" t="s">
        <v>1023</v>
      </c>
      <c r="G867">
        <v>55</v>
      </c>
      <c r="H867" t="s">
        <v>2</v>
      </c>
      <c r="I867" s="3">
        <v>1</v>
      </c>
      <c r="J867" s="2">
        <v>50</v>
      </c>
      <c r="K867" s="2">
        <v>50</v>
      </c>
    </row>
    <row r="868" spans="1:11" x14ac:dyDescent="0.3">
      <c r="A868">
        <v>369</v>
      </c>
      <c r="B868" s="1">
        <v>45245</v>
      </c>
      <c r="C868" s="3">
        <f t="shared" si="26"/>
        <v>2023</v>
      </c>
      <c r="D868" s="3">
        <f t="shared" si="27"/>
        <v>11</v>
      </c>
      <c r="E868" t="s">
        <v>396</v>
      </c>
      <c r="F868" t="s">
        <v>1022</v>
      </c>
      <c r="G868">
        <v>23</v>
      </c>
      <c r="H868" t="s">
        <v>4</v>
      </c>
      <c r="I868" s="3">
        <v>3</v>
      </c>
      <c r="J868" s="2">
        <v>500</v>
      </c>
      <c r="K868" s="2">
        <v>1500</v>
      </c>
    </row>
    <row r="869" spans="1:11" x14ac:dyDescent="0.3">
      <c r="A869">
        <v>706</v>
      </c>
      <c r="B869" s="1">
        <v>45245</v>
      </c>
      <c r="C869" s="3">
        <f t="shared" si="26"/>
        <v>2023</v>
      </c>
      <c r="D869" s="3">
        <f t="shared" si="27"/>
        <v>11</v>
      </c>
      <c r="E869" t="s">
        <v>42</v>
      </c>
      <c r="F869" t="s">
        <v>1022</v>
      </c>
      <c r="G869">
        <v>51</v>
      </c>
      <c r="H869" t="s">
        <v>4</v>
      </c>
      <c r="I869" s="3">
        <v>4</v>
      </c>
      <c r="J869" s="2">
        <v>25</v>
      </c>
      <c r="K869" s="2">
        <v>100</v>
      </c>
    </row>
    <row r="870" spans="1:11" x14ac:dyDescent="0.3">
      <c r="A870">
        <v>747</v>
      </c>
      <c r="B870" s="1">
        <v>45245</v>
      </c>
      <c r="C870" s="3">
        <f t="shared" si="26"/>
        <v>2023</v>
      </c>
      <c r="D870" s="3">
        <f t="shared" si="27"/>
        <v>11</v>
      </c>
      <c r="E870" t="s">
        <v>831</v>
      </c>
      <c r="F870" t="s">
        <v>1022</v>
      </c>
      <c r="G870">
        <v>23</v>
      </c>
      <c r="H870" t="s">
        <v>2</v>
      </c>
      <c r="I870" s="3">
        <v>1</v>
      </c>
      <c r="J870" s="2">
        <v>30</v>
      </c>
      <c r="K870" s="2">
        <v>30</v>
      </c>
    </row>
    <row r="871" spans="1:11" x14ac:dyDescent="0.3">
      <c r="A871">
        <v>533</v>
      </c>
      <c r="B871" s="1">
        <v>45246</v>
      </c>
      <c r="C871" s="3">
        <f t="shared" si="26"/>
        <v>2023</v>
      </c>
      <c r="D871" s="3">
        <f t="shared" si="27"/>
        <v>11</v>
      </c>
      <c r="E871" t="s">
        <v>430</v>
      </c>
      <c r="F871" t="s">
        <v>1022</v>
      </c>
      <c r="G871">
        <v>19</v>
      </c>
      <c r="H871" t="s">
        <v>4</v>
      </c>
      <c r="I871" s="3">
        <v>3</v>
      </c>
      <c r="J871" s="2">
        <v>500</v>
      </c>
      <c r="K871" s="2">
        <v>1500</v>
      </c>
    </row>
    <row r="872" spans="1:11" x14ac:dyDescent="0.3">
      <c r="A872">
        <v>169</v>
      </c>
      <c r="B872" s="1">
        <v>45247</v>
      </c>
      <c r="C872" s="3">
        <f t="shared" si="26"/>
        <v>2023</v>
      </c>
      <c r="D872" s="3">
        <f t="shared" si="27"/>
        <v>11</v>
      </c>
      <c r="E872" t="s">
        <v>493</v>
      </c>
      <c r="F872" t="s">
        <v>1022</v>
      </c>
      <c r="G872">
        <v>18</v>
      </c>
      <c r="H872" t="s">
        <v>2</v>
      </c>
      <c r="I872" s="3">
        <v>3</v>
      </c>
      <c r="J872" s="2">
        <v>500</v>
      </c>
      <c r="K872" s="2">
        <v>1500</v>
      </c>
    </row>
    <row r="873" spans="1:11" x14ac:dyDescent="0.3">
      <c r="A873">
        <v>645</v>
      </c>
      <c r="B873" s="1">
        <v>45247</v>
      </c>
      <c r="C873" s="3">
        <f t="shared" si="26"/>
        <v>2023</v>
      </c>
      <c r="D873" s="3">
        <f t="shared" si="27"/>
        <v>11</v>
      </c>
      <c r="E873" t="s">
        <v>178</v>
      </c>
      <c r="F873" t="s">
        <v>1023</v>
      </c>
      <c r="G873">
        <v>35</v>
      </c>
      <c r="H873" t="s">
        <v>4</v>
      </c>
      <c r="I873" s="3">
        <v>4</v>
      </c>
      <c r="J873" s="2">
        <v>30</v>
      </c>
      <c r="K873" s="2">
        <v>120</v>
      </c>
    </row>
    <row r="874" spans="1:11" x14ac:dyDescent="0.3">
      <c r="A874">
        <v>968</v>
      </c>
      <c r="B874" s="1">
        <v>45247</v>
      </c>
      <c r="C874" s="3">
        <f t="shared" si="26"/>
        <v>2023</v>
      </c>
      <c r="D874" s="3">
        <f t="shared" si="27"/>
        <v>11</v>
      </c>
      <c r="E874" t="s">
        <v>353</v>
      </c>
      <c r="F874" t="s">
        <v>1023</v>
      </c>
      <c r="G874">
        <v>48</v>
      </c>
      <c r="H874" t="s">
        <v>3</v>
      </c>
      <c r="I874" s="3">
        <v>3</v>
      </c>
      <c r="J874" s="2">
        <v>300</v>
      </c>
      <c r="K874" s="2">
        <v>900</v>
      </c>
    </row>
    <row r="875" spans="1:11" x14ac:dyDescent="0.3">
      <c r="A875">
        <v>997</v>
      </c>
      <c r="B875" s="1">
        <v>45247</v>
      </c>
      <c r="C875" s="3">
        <f t="shared" si="26"/>
        <v>2023</v>
      </c>
      <c r="D875" s="3">
        <f t="shared" si="27"/>
        <v>11</v>
      </c>
      <c r="E875" t="s">
        <v>363</v>
      </c>
      <c r="F875" t="s">
        <v>1022</v>
      </c>
      <c r="G875">
        <v>52</v>
      </c>
      <c r="H875" t="s">
        <v>2</v>
      </c>
      <c r="I875" s="3">
        <v>3</v>
      </c>
      <c r="J875" s="2">
        <v>30</v>
      </c>
      <c r="K875" s="2">
        <v>90</v>
      </c>
    </row>
    <row r="876" spans="1:11" x14ac:dyDescent="0.3">
      <c r="A876">
        <v>57</v>
      </c>
      <c r="B876" s="1">
        <v>45248</v>
      </c>
      <c r="C876" s="3">
        <f t="shared" si="26"/>
        <v>2023</v>
      </c>
      <c r="D876" s="3">
        <f t="shared" si="27"/>
        <v>11</v>
      </c>
      <c r="E876" t="s">
        <v>960</v>
      </c>
      <c r="F876" t="s">
        <v>1023</v>
      </c>
      <c r="G876">
        <v>63</v>
      </c>
      <c r="H876" t="s">
        <v>2</v>
      </c>
      <c r="I876" s="3">
        <v>1</v>
      </c>
      <c r="J876" s="2">
        <v>30</v>
      </c>
      <c r="K876" s="2">
        <v>30</v>
      </c>
    </row>
    <row r="877" spans="1:11" x14ac:dyDescent="0.3">
      <c r="A877">
        <v>137</v>
      </c>
      <c r="B877" s="1">
        <v>45248</v>
      </c>
      <c r="C877" s="3">
        <f t="shared" si="26"/>
        <v>2023</v>
      </c>
      <c r="D877" s="3">
        <f t="shared" si="27"/>
        <v>11</v>
      </c>
      <c r="E877" t="s">
        <v>736</v>
      </c>
      <c r="F877" t="s">
        <v>1022</v>
      </c>
      <c r="G877">
        <v>46</v>
      </c>
      <c r="H877" t="s">
        <v>2</v>
      </c>
      <c r="I877" s="3">
        <v>2</v>
      </c>
      <c r="J877" s="2">
        <v>500</v>
      </c>
      <c r="K877" s="2">
        <v>1000</v>
      </c>
    </row>
    <row r="878" spans="1:11" x14ac:dyDescent="0.3">
      <c r="A878">
        <v>778</v>
      </c>
      <c r="B878" s="1">
        <v>45248</v>
      </c>
      <c r="C878" s="3">
        <f t="shared" si="26"/>
        <v>2023</v>
      </c>
      <c r="D878" s="3">
        <f t="shared" si="27"/>
        <v>11</v>
      </c>
      <c r="E878" t="s">
        <v>82</v>
      </c>
      <c r="F878" t="s">
        <v>1023</v>
      </c>
      <c r="G878">
        <v>47</v>
      </c>
      <c r="H878" t="s">
        <v>2</v>
      </c>
      <c r="I878" s="3">
        <v>4</v>
      </c>
      <c r="J878" s="2">
        <v>25</v>
      </c>
      <c r="K878" s="2">
        <v>100</v>
      </c>
    </row>
    <row r="879" spans="1:11" x14ac:dyDescent="0.3">
      <c r="A879">
        <v>599</v>
      </c>
      <c r="B879" s="1">
        <v>45249</v>
      </c>
      <c r="C879" s="3">
        <f t="shared" si="26"/>
        <v>2023</v>
      </c>
      <c r="D879" s="3">
        <f t="shared" si="27"/>
        <v>11</v>
      </c>
      <c r="E879" t="s">
        <v>617</v>
      </c>
      <c r="F879" t="s">
        <v>1023</v>
      </c>
      <c r="G879">
        <v>28</v>
      </c>
      <c r="H879" t="s">
        <v>2</v>
      </c>
      <c r="I879" s="3">
        <v>2</v>
      </c>
      <c r="J879" s="2">
        <v>50</v>
      </c>
      <c r="K879" s="2">
        <v>100</v>
      </c>
    </row>
    <row r="880" spans="1:11" x14ac:dyDescent="0.3">
      <c r="A880">
        <v>938</v>
      </c>
      <c r="B880" s="1">
        <v>45249</v>
      </c>
      <c r="C880" s="3">
        <f t="shared" si="26"/>
        <v>2023</v>
      </c>
      <c r="D880" s="3">
        <f t="shared" si="27"/>
        <v>11</v>
      </c>
      <c r="E880" t="s">
        <v>91</v>
      </c>
      <c r="F880" t="s">
        <v>1022</v>
      </c>
      <c r="G880">
        <v>49</v>
      </c>
      <c r="H880" t="s">
        <v>3</v>
      </c>
      <c r="I880" s="3">
        <v>4</v>
      </c>
      <c r="J880" s="2">
        <v>50</v>
      </c>
      <c r="K880" s="2">
        <v>200</v>
      </c>
    </row>
    <row r="881" spans="1:11" x14ac:dyDescent="0.3">
      <c r="A881">
        <v>234</v>
      </c>
      <c r="B881" s="1">
        <v>45250</v>
      </c>
      <c r="C881" s="3">
        <f t="shared" si="26"/>
        <v>2023</v>
      </c>
      <c r="D881" s="3">
        <f t="shared" si="27"/>
        <v>11</v>
      </c>
      <c r="E881" t="s">
        <v>748</v>
      </c>
      <c r="F881" t="s">
        <v>1023</v>
      </c>
      <c r="G881">
        <v>62</v>
      </c>
      <c r="H881" t="s">
        <v>4</v>
      </c>
      <c r="I881" s="3">
        <v>2</v>
      </c>
      <c r="J881" s="2">
        <v>25</v>
      </c>
      <c r="K881" s="2">
        <v>50</v>
      </c>
    </row>
    <row r="882" spans="1:11" x14ac:dyDescent="0.3">
      <c r="A882">
        <v>410</v>
      </c>
      <c r="B882" s="1">
        <v>45251</v>
      </c>
      <c r="C882" s="3">
        <f t="shared" si="26"/>
        <v>2023</v>
      </c>
      <c r="D882" s="3">
        <f t="shared" si="27"/>
        <v>11</v>
      </c>
      <c r="E882" t="s">
        <v>598</v>
      </c>
      <c r="F882" t="s">
        <v>1023</v>
      </c>
      <c r="G882">
        <v>29</v>
      </c>
      <c r="H882" t="s">
        <v>3</v>
      </c>
      <c r="I882" s="3">
        <v>2</v>
      </c>
      <c r="J882" s="2">
        <v>50</v>
      </c>
      <c r="K882" s="2">
        <v>100</v>
      </c>
    </row>
    <row r="883" spans="1:11" x14ac:dyDescent="0.3">
      <c r="A883">
        <v>417</v>
      </c>
      <c r="B883" s="1">
        <v>45251</v>
      </c>
      <c r="C883" s="3">
        <f t="shared" si="26"/>
        <v>2023</v>
      </c>
      <c r="D883" s="3">
        <f t="shared" si="27"/>
        <v>11</v>
      </c>
      <c r="E883" t="s">
        <v>379</v>
      </c>
      <c r="F883" t="s">
        <v>1022</v>
      </c>
      <c r="G883">
        <v>43</v>
      </c>
      <c r="H883" t="s">
        <v>4</v>
      </c>
      <c r="I883" s="3">
        <v>3</v>
      </c>
      <c r="J883" s="2">
        <v>300</v>
      </c>
      <c r="K883" s="2">
        <v>900</v>
      </c>
    </row>
    <row r="884" spans="1:11" x14ac:dyDescent="0.3">
      <c r="A884">
        <v>581</v>
      </c>
      <c r="B884" s="1">
        <v>45251</v>
      </c>
      <c r="C884" s="3">
        <f t="shared" si="26"/>
        <v>2023</v>
      </c>
      <c r="D884" s="3">
        <f t="shared" si="27"/>
        <v>11</v>
      </c>
      <c r="E884" t="s">
        <v>666</v>
      </c>
      <c r="F884" t="s">
        <v>1023</v>
      </c>
      <c r="G884">
        <v>48</v>
      </c>
      <c r="H884" t="s">
        <v>2</v>
      </c>
      <c r="I884" s="3">
        <v>2</v>
      </c>
      <c r="J884" s="2">
        <v>30</v>
      </c>
      <c r="K884" s="2">
        <v>60</v>
      </c>
    </row>
    <row r="885" spans="1:11" x14ac:dyDescent="0.3">
      <c r="A885">
        <v>74</v>
      </c>
      <c r="B885" s="1">
        <v>45252</v>
      </c>
      <c r="C885" s="3">
        <f t="shared" si="26"/>
        <v>2023</v>
      </c>
      <c r="D885" s="3">
        <f t="shared" si="27"/>
        <v>11</v>
      </c>
      <c r="E885" t="s">
        <v>234</v>
      </c>
      <c r="F885" t="s">
        <v>1023</v>
      </c>
      <c r="G885">
        <v>18</v>
      </c>
      <c r="H885" t="s">
        <v>2</v>
      </c>
      <c r="I885" s="3">
        <v>4</v>
      </c>
      <c r="J885" s="2">
        <v>500</v>
      </c>
      <c r="K885" s="2">
        <v>2000</v>
      </c>
    </row>
    <row r="886" spans="1:11" x14ac:dyDescent="0.3">
      <c r="A886">
        <v>87</v>
      </c>
      <c r="B886" s="1">
        <v>45252</v>
      </c>
      <c r="C886" s="3">
        <f t="shared" si="26"/>
        <v>2023</v>
      </c>
      <c r="D886" s="3">
        <f t="shared" si="27"/>
        <v>11</v>
      </c>
      <c r="E886" t="s">
        <v>759</v>
      </c>
      <c r="F886" t="s">
        <v>1023</v>
      </c>
      <c r="G886">
        <v>28</v>
      </c>
      <c r="H886" t="s">
        <v>2</v>
      </c>
      <c r="I886" s="3">
        <v>2</v>
      </c>
      <c r="J886" s="2">
        <v>50</v>
      </c>
      <c r="K886" s="2">
        <v>100</v>
      </c>
    </row>
    <row r="887" spans="1:11" x14ac:dyDescent="0.3">
      <c r="A887">
        <v>803</v>
      </c>
      <c r="B887" s="1">
        <v>45252</v>
      </c>
      <c r="C887" s="3">
        <f t="shared" si="26"/>
        <v>2023</v>
      </c>
      <c r="D887" s="3">
        <f t="shared" si="27"/>
        <v>11</v>
      </c>
      <c r="E887" t="s">
        <v>96</v>
      </c>
      <c r="F887" t="s">
        <v>1022</v>
      </c>
      <c r="G887">
        <v>39</v>
      </c>
      <c r="H887" t="s">
        <v>3</v>
      </c>
      <c r="I887" s="3">
        <v>4</v>
      </c>
      <c r="J887" s="2">
        <v>25</v>
      </c>
      <c r="K887" s="2">
        <v>100</v>
      </c>
    </row>
    <row r="888" spans="1:11" x14ac:dyDescent="0.3">
      <c r="A888">
        <v>424</v>
      </c>
      <c r="B888" s="1">
        <v>45253</v>
      </c>
      <c r="C888" s="3">
        <f t="shared" si="26"/>
        <v>2023</v>
      </c>
      <c r="D888" s="3">
        <f t="shared" si="27"/>
        <v>11</v>
      </c>
      <c r="E888" t="s">
        <v>119</v>
      </c>
      <c r="F888" t="s">
        <v>1022</v>
      </c>
      <c r="G888">
        <v>57</v>
      </c>
      <c r="H888" t="s">
        <v>2</v>
      </c>
      <c r="I888" s="3">
        <v>4</v>
      </c>
      <c r="J888" s="2">
        <v>300</v>
      </c>
      <c r="K888" s="2">
        <v>1200</v>
      </c>
    </row>
    <row r="889" spans="1:11" x14ac:dyDescent="0.3">
      <c r="A889">
        <v>641</v>
      </c>
      <c r="B889" s="1">
        <v>45253</v>
      </c>
      <c r="C889" s="3">
        <f t="shared" si="26"/>
        <v>2023</v>
      </c>
      <c r="D889" s="3">
        <f t="shared" si="27"/>
        <v>11</v>
      </c>
      <c r="E889" t="s">
        <v>880</v>
      </c>
      <c r="F889" t="s">
        <v>1023</v>
      </c>
      <c r="G889">
        <v>40</v>
      </c>
      <c r="H889" t="s">
        <v>4</v>
      </c>
      <c r="I889" s="3">
        <v>1</v>
      </c>
      <c r="J889" s="2">
        <v>300</v>
      </c>
      <c r="K889" s="2">
        <v>300</v>
      </c>
    </row>
    <row r="890" spans="1:11" x14ac:dyDescent="0.3">
      <c r="A890">
        <v>918</v>
      </c>
      <c r="B890" s="1">
        <v>45253</v>
      </c>
      <c r="C890" s="3">
        <f t="shared" si="26"/>
        <v>2023</v>
      </c>
      <c r="D890" s="3">
        <f t="shared" si="27"/>
        <v>11</v>
      </c>
      <c r="E890" t="s">
        <v>311</v>
      </c>
      <c r="F890" t="s">
        <v>1023</v>
      </c>
      <c r="G890">
        <v>42</v>
      </c>
      <c r="H890" t="s">
        <v>4</v>
      </c>
      <c r="I890" s="3">
        <v>3</v>
      </c>
      <c r="J890" s="2">
        <v>30</v>
      </c>
      <c r="K890" s="2">
        <v>90</v>
      </c>
    </row>
    <row r="891" spans="1:11" x14ac:dyDescent="0.3">
      <c r="A891">
        <v>1</v>
      </c>
      <c r="B891" s="1">
        <v>45254</v>
      </c>
      <c r="C891" s="3">
        <f t="shared" si="26"/>
        <v>2023</v>
      </c>
      <c r="D891" s="3">
        <f t="shared" si="27"/>
        <v>11</v>
      </c>
      <c r="E891" t="s">
        <v>489</v>
      </c>
      <c r="F891" t="s">
        <v>1022</v>
      </c>
      <c r="G891">
        <v>34</v>
      </c>
      <c r="H891" t="s">
        <v>2</v>
      </c>
      <c r="I891" s="3">
        <v>3</v>
      </c>
      <c r="J891" s="2">
        <v>50</v>
      </c>
      <c r="K891" s="2">
        <v>150</v>
      </c>
    </row>
    <row r="892" spans="1:11" x14ac:dyDescent="0.3">
      <c r="A892">
        <v>95</v>
      </c>
      <c r="B892" s="1">
        <v>45254</v>
      </c>
      <c r="C892" s="3">
        <f t="shared" si="26"/>
        <v>2023</v>
      </c>
      <c r="D892" s="3">
        <f t="shared" si="27"/>
        <v>11</v>
      </c>
      <c r="E892" t="s">
        <v>693</v>
      </c>
      <c r="F892" t="s">
        <v>1023</v>
      </c>
      <c r="G892">
        <v>32</v>
      </c>
      <c r="H892" t="s">
        <v>3</v>
      </c>
      <c r="I892" s="3">
        <v>2</v>
      </c>
      <c r="J892" s="2">
        <v>30</v>
      </c>
      <c r="K892" s="2">
        <v>60</v>
      </c>
    </row>
    <row r="893" spans="1:11" x14ac:dyDescent="0.3">
      <c r="A893">
        <v>171</v>
      </c>
      <c r="B893" s="1">
        <v>45254</v>
      </c>
      <c r="C893" s="3">
        <f t="shared" si="26"/>
        <v>2023</v>
      </c>
      <c r="D893" s="3">
        <f t="shared" si="27"/>
        <v>11</v>
      </c>
      <c r="E893" t="s">
        <v>495</v>
      </c>
      <c r="F893" t="s">
        <v>1023</v>
      </c>
      <c r="G893">
        <v>52</v>
      </c>
      <c r="H893" t="s">
        <v>3</v>
      </c>
      <c r="I893" s="3">
        <v>3</v>
      </c>
      <c r="J893" s="2">
        <v>300</v>
      </c>
      <c r="K893" s="2">
        <v>900</v>
      </c>
    </row>
    <row r="894" spans="1:11" x14ac:dyDescent="0.3">
      <c r="A894">
        <v>156</v>
      </c>
      <c r="B894" s="1">
        <v>45255</v>
      </c>
      <c r="C894" s="3">
        <f t="shared" si="26"/>
        <v>2023</v>
      </c>
      <c r="D894" s="3">
        <f t="shared" si="27"/>
        <v>11</v>
      </c>
      <c r="E894" t="s">
        <v>280</v>
      </c>
      <c r="F894" t="s">
        <v>1023</v>
      </c>
      <c r="G894">
        <v>43</v>
      </c>
      <c r="H894" t="s">
        <v>3</v>
      </c>
      <c r="I894" s="3">
        <v>4</v>
      </c>
      <c r="J894" s="2">
        <v>25</v>
      </c>
      <c r="K894" s="2">
        <v>100</v>
      </c>
    </row>
    <row r="895" spans="1:11" x14ac:dyDescent="0.3">
      <c r="A895">
        <v>493</v>
      </c>
      <c r="B895" s="1">
        <v>45255</v>
      </c>
      <c r="C895" s="3">
        <f t="shared" si="26"/>
        <v>2023</v>
      </c>
      <c r="D895" s="3">
        <f t="shared" si="27"/>
        <v>11</v>
      </c>
      <c r="E895" t="s">
        <v>651</v>
      </c>
      <c r="F895" t="s">
        <v>1022</v>
      </c>
      <c r="G895">
        <v>41</v>
      </c>
      <c r="H895" t="s">
        <v>2</v>
      </c>
      <c r="I895" s="3">
        <v>2</v>
      </c>
      <c r="J895" s="2">
        <v>25</v>
      </c>
      <c r="K895" s="2">
        <v>50</v>
      </c>
    </row>
    <row r="896" spans="1:11" x14ac:dyDescent="0.3">
      <c r="A896">
        <v>115</v>
      </c>
      <c r="B896" s="1">
        <v>45256</v>
      </c>
      <c r="C896" s="3">
        <f t="shared" si="26"/>
        <v>2023</v>
      </c>
      <c r="D896" s="3">
        <f t="shared" si="27"/>
        <v>11</v>
      </c>
      <c r="E896" t="s">
        <v>457</v>
      </c>
      <c r="F896" t="s">
        <v>1022</v>
      </c>
      <c r="G896">
        <v>51</v>
      </c>
      <c r="H896" t="s">
        <v>3</v>
      </c>
      <c r="I896" s="3">
        <v>3</v>
      </c>
      <c r="J896" s="2">
        <v>500</v>
      </c>
      <c r="K896" s="2">
        <v>1500</v>
      </c>
    </row>
    <row r="897" spans="1:11" x14ac:dyDescent="0.3">
      <c r="A897">
        <v>715</v>
      </c>
      <c r="B897" s="1">
        <v>45256</v>
      </c>
      <c r="C897" s="3">
        <f t="shared" si="26"/>
        <v>2023</v>
      </c>
      <c r="D897" s="3">
        <f t="shared" si="27"/>
        <v>11</v>
      </c>
      <c r="E897" t="s">
        <v>44</v>
      </c>
      <c r="F897" t="s">
        <v>1023</v>
      </c>
      <c r="G897">
        <v>42</v>
      </c>
      <c r="H897" t="s">
        <v>2</v>
      </c>
      <c r="I897" s="3">
        <v>4</v>
      </c>
      <c r="J897" s="2">
        <v>25</v>
      </c>
      <c r="K897" s="2">
        <v>100</v>
      </c>
    </row>
    <row r="898" spans="1:11" x14ac:dyDescent="0.3">
      <c r="A898">
        <v>267</v>
      </c>
      <c r="B898" s="1">
        <v>45257</v>
      </c>
      <c r="C898" s="3">
        <f t="shared" ref="C898:C961" si="28">YEAR(B898)</f>
        <v>2023</v>
      </c>
      <c r="D898" s="3">
        <f t="shared" ref="D898:D961" si="29">MONTH(B898)</f>
        <v>11</v>
      </c>
      <c r="E898" t="s">
        <v>456</v>
      </c>
      <c r="F898" t="s">
        <v>1023</v>
      </c>
      <c r="G898">
        <v>32</v>
      </c>
      <c r="H898" t="s">
        <v>2</v>
      </c>
      <c r="I898" s="3">
        <v>3</v>
      </c>
      <c r="J898" s="2">
        <v>30</v>
      </c>
      <c r="K898" s="2">
        <v>90</v>
      </c>
    </row>
    <row r="899" spans="1:11" x14ac:dyDescent="0.3">
      <c r="A899">
        <v>362</v>
      </c>
      <c r="B899" s="1">
        <v>45257</v>
      </c>
      <c r="C899" s="3">
        <f t="shared" si="28"/>
        <v>2023</v>
      </c>
      <c r="D899" s="3">
        <f t="shared" si="29"/>
        <v>11</v>
      </c>
      <c r="E899" t="s">
        <v>903</v>
      </c>
      <c r="F899" t="s">
        <v>1022</v>
      </c>
      <c r="G899">
        <v>50</v>
      </c>
      <c r="H899" t="s">
        <v>3</v>
      </c>
      <c r="I899" s="3">
        <v>1</v>
      </c>
      <c r="J899" s="2">
        <v>25</v>
      </c>
      <c r="K899" s="2">
        <v>25</v>
      </c>
    </row>
    <row r="900" spans="1:11" x14ac:dyDescent="0.3">
      <c r="A900">
        <v>856</v>
      </c>
      <c r="B900" s="1">
        <v>45257</v>
      </c>
      <c r="C900" s="3">
        <f t="shared" si="28"/>
        <v>2023</v>
      </c>
      <c r="D900" s="3">
        <f t="shared" si="29"/>
        <v>11</v>
      </c>
      <c r="E900" t="s">
        <v>71</v>
      </c>
      <c r="F900" t="s">
        <v>1022</v>
      </c>
      <c r="G900">
        <v>54</v>
      </c>
      <c r="H900" t="s">
        <v>4</v>
      </c>
      <c r="I900" s="3">
        <v>4</v>
      </c>
      <c r="J900" s="2">
        <v>30</v>
      </c>
      <c r="K900" s="2">
        <v>120</v>
      </c>
    </row>
    <row r="901" spans="1:11" x14ac:dyDescent="0.3">
      <c r="A901">
        <v>84</v>
      </c>
      <c r="B901" s="1">
        <v>45258</v>
      </c>
      <c r="C901" s="3">
        <f t="shared" si="28"/>
        <v>2023</v>
      </c>
      <c r="D901" s="3">
        <f t="shared" si="29"/>
        <v>11</v>
      </c>
      <c r="E901" t="s">
        <v>476</v>
      </c>
      <c r="F901" t="s">
        <v>1023</v>
      </c>
      <c r="G901">
        <v>38</v>
      </c>
      <c r="H901" t="s">
        <v>4</v>
      </c>
      <c r="I901" s="3">
        <v>3</v>
      </c>
      <c r="J901" s="2">
        <v>30</v>
      </c>
      <c r="K901" s="2">
        <v>90</v>
      </c>
    </row>
    <row r="902" spans="1:11" x14ac:dyDescent="0.3">
      <c r="A902">
        <v>795</v>
      </c>
      <c r="B902" s="1">
        <v>45258</v>
      </c>
      <c r="C902" s="3">
        <f t="shared" si="28"/>
        <v>2023</v>
      </c>
      <c r="D902" s="3">
        <f t="shared" si="29"/>
        <v>11</v>
      </c>
      <c r="E902" t="s">
        <v>836</v>
      </c>
      <c r="F902" t="s">
        <v>1022</v>
      </c>
      <c r="G902">
        <v>57</v>
      </c>
      <c r="H902" t="s">
        <v>4</v>
      </c>
      <c r="I902" s="3">
        <v>1</v>
      </c>
      <c r="J902" s="2">
        <v>300</v>
      </c>
      <c r="K902" s="2">
        <v>300</v>
      </c>
    </row>
    <row r="903" spans="1:11" x14ac:dyDescent="0.3">
      <c r="A903">
        <v>24</v>
      </c>
      <c r="B903" s="1">
        <v>45259</v>
      </c>
      <c r="C903" s="3">
        <f t="shared" si="28"/>
        <v>2023</v>
      </c>
      <c r="D903" s="3">
        <f t="shared" si="29"/>
        <v>11</v>
      </c>
      <c r="E903" t="s">
        <v>1007</v>
      </c>
      <c r="F903" t="s">
        <v>1023</v>
      </c>
      <c r="G903">
        <v>49</v>
      </c>
      <c r="H903" t="s">
        <v>3</v>
      </c>
      <c r="I903" s="3">
        <v>1</v>
      </c>
      <c r="J903" s="2">
        <v>300</v>
      </c>
      <c r="K903" s="2">
        <v>300</v>
      </c>
    </row>
    <row r="904" spans="1:11" x14ac:dyDescent="0.3">
      <c r="A904">
        <v>215</v>
      </c>
      <c r="B904" s="1">
        <v>45259</v>
      </c>
      <c r="C904" s="3">
        <f t="shared" si="28"/>
        <v>2023</v>
      </c>
      <c r="D904" s="3">
        <f t="shared" si="29"/>
        <v>11</v>
      </c>
      <c r="E904" t="s">
        <v>464</v>
      </c>
      <c r="F904" t="s">
        <v>1022</v>
      </c>
      <c r="G904">
        <v>58</v>
      </c>
      <c r="H904" t="s">
        <v>3</v>
      </c>
      <c r="I904" s="3">
        <v>3</v>
      </c>
      <c r="J904" s="2">
        <v>500</v>
      </c>
      <c r="K904" s="2">
        <v>1500</v>
      </c>
    </row>
    <row r="905" spans="1:11" x14ac:dyDescent="0.3">
      <c r="A905">
        <v>739</v>
      </c>
      <c r="B905" s="1">
        <v>45259</v>
      </c>
      <c r="C905" s="3">
        <f t="shared" si="28"/>
        <v>2023</v>
      </c>
      <c r="D905" s="3">
        <f t="shared" si="29"/>
        <v>11</v>
      </c>
      <c r="E905" t="s">
        <v>840</v>
      </c>
      <c r="F905" t="s">
        <v>1022</v>
      </c>
      <c r="G905">
        <v>36</v>
      </c>
      <c r="H905" t="s">
        <v>2</v>
      </c>
      <c r="I905" s="3">
        <v>1</v>
      </c>
      <c r="J905" s="2">
        <v>25</v>
      </c>
      <c r="K905" s="2">
        <v>25</v>
      </c>
    </row>
    <row r="906" spans="1:11" x14ac:dyDescent="0.3">
      <c r="A906">
        <v>289</v>
      </c>
      <c r="B906" s="1">
        <v>45260</v>
      </c>
      <c r="C906" s="3">
        <f t="shared" si="28"/>
        <v>2023</v>
      </c>
      <c r="D906" s="3">
        <f t="shared" si="29"/>
        <v>11</v>
      </c>
      <c r="E906" t="s">
        <v>703</v>
      </c>
      <c r="F906" t="s">
        <v>1022</v>
      </c>
      <c r="G906">
        <v>53</v>
      </c>
      <c r="H906" t="s">
        <v>4</v>
      </c>
      <c r="I906" s="3">
        <v>2</v>
      </c>
      <c r="J906" s="2">
        <v>30</v>
      </c>
      <c r="K906" s="2">
        <v>60</v>
      </c>
    </row>
    <row r="907" spans="1:11" x14ac:dyDescent="0.3">
      <c r="A907">
        <v>741</v>
      </c>
      <c r="B907" s="1">
        <v>45260</v>
      </c>
      <c r="C907" s="3">
        <f t="shared" si="28"/>
        <v>2023</v>
      </c>
      <c r="D907" s="3">
        <f t="shared" si="29"/>
        <v>11</v>
      </c>
      <c r="E907" t="s">
        <v>813</v>
      </c>
      <c r="F907" t="s">
        <v>1022</v>
      </c>
      <c r="G907">
        <v>48</v>
      </c>
      <c r="H907" t="s">
        <v>3</v>
      </c>
      <c r="I907" s="3">
        <v>1</v>
      </c>
      <c r="J907" s="2">
        <v>300</v>
      </c>
      <c r="K907" s="2">
        <v>300</v>
      </c>
    </row>
    <row r="908" spans="1:11" x14ac:dyDescent="0.3">
      <c r="A908">
        <v>810</v>
      </c>
      <c r="B908" s="1">
        <v>45260</v>
      </c>
      <c r="C908" s="3">
        <f t="shared" si="28"/>
        <v>2023</v>
      </c>
      <c r="D908" s="3">
        <f t="shared" si="29"/>
        <v>11</v>
      </c>
      <c r="E908" t="s">
        <v>102</v>
      </c>
      <c r="F908" t="s">
        <v>1022</v>
      </c>
      <c r="G908">
        <v>59</v>
      </c>
      <c r="H908" t="s">
        <v>4</v>
      </c>
      <c r="I908" s="3">
        <v>4</v>
      </c>
      <c r="J908" s="2">
        <v>25</v>
      </c>
      <c r="K908" s="2">
        <v>100</v>
      </c>
    </row>
    <row r="909" spans="1:11" x14ac:dyDescent="0.3">
      <c r="A909">
        <v>266</v>
      </c>
      <c r="B909" s="1">
        <v>45261</v>
      </c>
      <c r="C909" s="3">
        <f t="shared" si="28"/>
        <v>2023</v>
      </c>
      <c r="D909" s="3">
        <f t="shared" si="29"/>
        <v>12</v>
      </c>
      <c r="E909" t="s">
        <v>685</v>
      </c>
      <c r="F909" t="s">
        <v>1023</v>
      </c>
      <c r="G909">
        <v>19</v>
      </c>
      <c r="H909" t="s">
        <v>4</v>
      </c>
      <c r="I909" s="3">
        <v>2</v>
      </c>
      <c r="J909" s="2">
        <v>30</v>
      </c>
      <c r="K909" s="2">
        <v>60</v>
      </c>
    </row>
    <row r="910" spans="1:11" x14ac:dyDescent="0.3">
      <c r="A910">
        <v>389</v>
      </c>
      <c r="B910" s="1">
        <v>45261</v>
      </c>
      <c r="C910" s="3">
        <f t="shared" si="28"/>
        <v>2023</v>
      </c>
      <c r="D910" s="3">
        <f t="shared" si="29"/>
        <v>12</v>
      </c>
      <c r="E910" t="s">
        <v>608</v>
      </c>
      <c r="F910" t="s">
        <v>1022</v>
      </c>
      <c r="G910">
        <v>21</v>
      </c>
      <c r="H910" t="s">
        <v>3</v>
      </c>
      <c r="I910" s="3">
        <v>2</v>
      </c>
      <c r="J910" s="2">
        <v>25</v>
      </c>
      <c r="K910" s="2">
        <v>50</v>
      </c>
    </row>
    <row r="911" spans="1:11" x14ac:dyDescent="0.3">
      <c r="A911">
        <v>112</v>
      </c>
      <c r="B911" s="1">
        <v>45262</v>
      </c>
      <c r="C911" s="3">
        <f t="shared" si="28"/>
        <v>2023</v>
      </c>
      <c r="D911" s="3">
        <f t="shared" si="29"/>
        <v>12</v>
      </c>
      <c r="E911" t="s">
        <v>453</v>
      </c>
      <c r="F911" t="s">
        <v>1022</v>
      </c>
      <c r="G911">
        <v>37</v>
      </c>
      <c r="H911" t="s">
        <v>3</v>
      </c>
      <c r="I911" s="3">
        <v>3</v>
      </c>
      <c r="J911" s="2">
        <v>500</v>
      </c>
      <c r="K911" s="2">
        <v>1500</v>
      </c>
    </row>
    <row r="912" spans="1:11" x14ac:dyDescent="0.3">
      <c r="A912">
        <v>566</v>
      </c>
      <c r="B912" s="1">
        <v>45262</v>
      </c>
      <c r="C912" s="3">
        <f t="shared" si="28"/>
        <v>2023</v>
      </c>
      <c r="D912" s="3">
        <f t="shared" si="29"/>
        <v>12</v>
      </c>
      <c r="E912" t="s">
        <v>907</v>
      </c>
      <c r="F912" t="s">
        <v>1023</v>
      </c>
      <c r="G912">
        <v>64</v>
      </c>
      <c r="H912" t="s">
        <v>3</v>
      </c>
      <c r="I912" s="3">
        <v>1</v>
      </c>
      <c r="J912" s="2">
        <v>30</v>
      </c>
      <c r="K912" s="2">
        <v>30</v>
      </c>
    </row>
    <row r="913" spans="1:11" x14ac:dyDescent="0.3">
      <c r="A913">
        <v>608</v>
      </c>
      <c r="B913" s="1">
        <v>45262</v>
      </c>
      <c r="C913" s="3">
        <f t="shared" si="28"/>
        <v>2023</v>
      </c>
      <c r="D913" s="3">
        <f t="shared" si="29"/>
        <v>12</v>
      </c>
      <c r="E913" t="s">
        <v>413</v>
      </c>
      <c r="F913" t="s">
        <v>1023</v>
      </c>
      <c r="G913">
        <v>55</v>
      </c>
      <c r="H913" t="s">
        <v>4</v>
      </c>
      <c r="I913" s="3">
        <v>3</v>
      </c>
      <c r="J913" s="2">
        <v>500</v>
      </c>
      <c r="K913" s="2">
        <v>1500</v>
      </c>
    </row>
    <row r="914" spans="1:11" x14ac:dyDescent="0.3">
      <c r="A914">
        <v>348</v>
      </c>
      <c r="B914" s="1">
        <v>45263</v>
      </c>
      <c r="C914" s="3">
        <f t="shared" si="28"/>
        <v>2023</v>
      </c>
      <c r="D914" s="3">
        <f t="shared" si="29"/>
        <v>12</v>
      </c>
      <c r="E914" t="s">
        <v>607</v>
      </c>
      <c r="F914" t="s">
        <v>1023</v>
      </c>
      <c r="G914">
        <v>35</v>
      </c>
      <c r="H914" t="s">
        <v>4</v>
      </c>
      <c r="I914" s="3">
        <v>2</v>
      </c>
      <c r="J914" s="2">
        <v>300</v>
      </c>
      <c r="K914" s="2">
        <v>600</v>
      </c>
    </row>
    <row r="915" spans="1:11" x14ac:dyDescent="0.3">
      <c r="A915">
        <v>199</v>
      </c>
      <c r="B915" s="1">
        <v>45264</v>
      </c>
      <c r="C915" s="3">
        <f t="shared" si="28"/>
        <v>2023</v>
      </c>
      <c r="D915" s="3">
        <f t="shared" si="29"/>
        <v>12</v>
      </c>
      <c r="E915" t="s">
        <v>521</v>
      </c>
      <c r="F915" t="s">
        <v>1022</v>
      </c>
      <c r="G915">
        <v>45</v>
      </c>
      <c r="H915" t="s">
        <v>2</v>
      </c>
      <c r="I915" s="3">
        <v>3</v>
      </c>
      <c r="J915" s="2">
        <v>500</v>
      </c>
      <c r="K915" s="2">
        <v>1500</v>
      </c>
    </row>
    <row r="916" spans="1:11" x14ac:dyDescent="0.3">
      <c r="A916">
        <v>258</v>
      </c>
      <c r="B916" s="1">
        <v>45264</v>
      </c>
      <c r="C916" s="3">
        <f t="shared" si="28"/>
        <v>2023</v>
      </c>
      <c r="D916" s="3">
        <f t="shared" si="29"/>
        <v>12</v>
      </c>
      <c r="E916" t="s">
        <v>937</v>
      </c>
      <c r="F916" t="s">
        <v>1023</v>
      </c>
      <c r="G916">
        <v>37</v>
      </c>
      <c r="H916" t="s">
        <v>3</v>
      </c>
      <c r="I916" s="3">
        <v>1</v>
      </c>
      <c r="J916" s="2">
        <v>50</v>
      </c>
      <c r="K916" s="2">
        <v>50</v>
      </c>
    </row>
    <row r="917" spans="1:11" x14ac:dyDescent="0.3">
      <c r="A917">
        <v>485</v>
      </c>
      <c r="B917" s="1">
        <v>45264</v>
      </c>
      <c r="C917" s="3">
        <f t="shared" si="28"/>
        <v>2023</v>
      </c>
      <c r="D917" s="3">
        <f t="shared" si="29"/>
        <v>12</v>
      </c>
      <c r="E917" t="s">
        <v>891</v>
      </c>
      <c r="F917" t="s">
        <v>1022</v>
      </c>
      <c r="G917">
        <v>24</v>
      </c>
      <c r="H917" t="s">
        <v>4</v>
      </c>
      <c r="I917" s="3">
        <v>1</v>
      </c>
      <c r="J917" s="2">
        <v>30</v>
      </c>
      <c r="K917" s="2">
        <v>30</v>
      </c>
    </row>
    <row r="918" spans="1:11" x14ac:dyDescent="0.3">
      <c r="A918">
        <v>576</v>
      </c>
      <c r="B918" s="1">
        <v>45264</v>
      </c>
      <c r="C918" s="3">
        <f t="shared" si="28"/>
        <v>2023</v>
      </c>
      <c r="D918" s="3">
        <f t="shared" si="29"/>
        <v>12</v>
      </c>
      <c r="E918" t="s">
        <v>405</v>
      </c>
      <c r="F918" t="s">
        <v>1023</v>
      </c>
      <c r="G918">
        <v>33</v>
      </c>
      <c r="H918" t="s">
        <v>2</v>
      </c>
      <c r="I918" s="3">
        <v>3</v>
      </c>
      <c r="J918" s="2">
        <v>50</v>
      </c>
      <c r="K918" s="2">
        <v>150</v>
      </c>
    </row>
    <row r="919" spans="1:11" x14ac:dyDescent="0.3">
      <c r="A919">
        <v>65</v>
      </c>
      <c r="B919" s="1">
        <v>45265</v>
      </c>
      <c r="C919" s="3">
        <f t="shared" si="28"/>
        <v>2023</v>
      </c>
      <c r="D919" s="3">
        <f t="shared" si="29"/>
        <v>12</v>
      </c>
      <c r="E919" t="s">
        <v>226</v>
      </c>
      <c r="F919" t="s">
        <v>1022</v>
      </c>
      <c r="G919">
        <v>51</v>
      </c>
      <c r="H919" t="s">
        <v>4</v>
      </c>
      <c r="I919" s="3">
        <v>4</v>
      </c>
      <c r="J919" s="2">
        <v>500</v>
      </c>
      <c r="K919" s="2">
        <v>2000</v>
      </c>
    </row>
    <row r="920" spans="1:11" x14ac:dyDescent="0.3">
      <c r="A920">
        <v>311</v>
      </c>
      <c r="B920" s="1">
        <v>45265</v>
      </c>
      <c r="C920" s="3">
        <f t="shared" si="28"/>
        <v>2023</v>
      </c>
      <c r="D920" s="3">
        <f t="shared" si="29"/>
        <v>12</v>
      </c>
      <c r="E920" t="s">
        <v>275</v>
      </c>
      <c r="F920" t="s">
        <v>1023</v>
      </c>
      <c r="G920">
        <v>32</v>
      </c>
      <c r="H920" t="s">
        <v>2</v>
      </c>
      <c r="I920" s="3">
        <v>4</v>
      </c>
      <c r="J920" s="2">
        <v>25</v>
      </c>
      <c r="K920" s="2">
        <v>100</v>
      </c>
    </row>
    <row r="921" spans="1:11" x14ac:dyDescent="0.3">
      <c r="A921">
        <v>791</v>
      </c>
      <c r="B921" s="1">
        <v>45265</v>
      </c>
      <c r="C921" s="3">
        <f t="shared" si="28"/>
        <v>2023</v>
      </c>
      <c r="D921" s="3">
        <f t="shared" si="29"/>
        <v>12</v>
      </c>
      <c r="E921" t="s">
        <v>794</v>
      </c>
      <c r="F921" t="s">
        <v>1023</v>
      </c>
      <c r="G921">
        <v>51</v>
      </c>
      <c r="H921" t="s">
        <v>2</v>
      </c>
      <c r="I921" s="3">
        <v>1</v>
      </c>
      <c r="J921" s="2">
        <v>25</v>
      </c>
      <c r="K921" s="2">
        <v>25</v>
      </c>
    </row>
    <row r="922" spans="1:11" x14ac:dyDescent="0.3">
      <c r="A922">
        <v>971</v>
      </c>
      <c r="B922" s="1">
        <v>45265</v>
      </c>
      <c r="C922" s="3">
        <f t="shared" si="28"/>
        <v>2023</v>
      </c>
      <c r="D922" s="3">
        <f t="shared" si="29"/>
        <v>12</v>
      </c>
      <c r="E922" t="s">
        <v>59</v>
      </c>
      <c r="F922" t="s">
        <v>1023</v>
      </c>
      <c r="G922">
        <v>27</v>
      </c>
      <c r="H922" t="s">
        <v>4</v>
      </c>
      <c r="I922" s="3">
        <v>4</v>
      </c>
      <c r="J922" s="2">
        <v>50</v>
      </c>
      <c r="K922" s="2">
        <v>200</v>
      </c>
    </row>
    <row r="923" spans="1:11" x14ac:dyDescent="0.3">
      <c r="A923">
        <v>999</v>
      </c>
      <c r="B923" s="1">
        <v>45265</v>
      </c>
      <c r="C923" s="3">
        <f t="shared" si="28"/>
        <v>2023</v>
      </c>
      <c r="D923" s="3">
        <f t="shared" si="29"/>
        <v>12</v>
      </c>
      <c r="E923" t="s">
        <v>327</v>
      </c>
      <c r="F923" t="s">
        <v>1023</v>
      </c>
      <c r="G923">
        <v>36</v>
      </c>
      <c r="H923" t="s">
        <v>4</v>
      </c>
      <c r="I923" s="3">
        <v>3</v>
      </c>
      <c r="J923" s="2">
        <v>50</v>
      </c>
      <c r="K923" s="2">
        <v>150</v>
      </c>
    </row>
    <row r="924" spans="1:11" x14ac:dyDescent="0.3">
      <c r="A924">
        <v>395</v>
      </c>
      <c r="B924" s="1">
        <v>45266</v>
      </c>
      <c r="C924" s="3">
        <f t="shared" si="28"/>
        <v>2023</v>
      </c>
      <c r="D924" s="3">
        <f t="shared" si="29"/>
        <v>12</v>
      </c>
      <c r="E924" t="s">
        <v>640</v>
      </c>
      <c r="F924" t="s">
        <v>1022</v>
      </c>
      <c r="G924">
        <v>50</v>
      </c>
      <c r="H924" t="s">
        <v>4</v>
      </c>
      <c r="I924" s="3">
        <v>2</v>
      </c>
      <c r="J924" s="2">
        <v>500</v>
      </c>
      <c r="K924" s="2">
        <v>1000</v>
      </c>
    </row>
    <row r="925" spans="1:11" x14ac:dyDescent="0.3">
      <c r="A925">
        <v>535</v>
      </c>
      <c r="B925" s="1">
        <v>45266</v>
      </c>
      <c r="C925" s="3">
        <f t="shared" si="28"/>
        <v>2023</v>
      </c>
      <c r="D925" s="3">
        <f t="shared" si="29"/>
        <v>12</v>
      </c>
      <c r="E925" t="s">
        <v>432</v>
      </c>
      <c r="F925" t="s">
        <v>1022</v>
      </c>
      <c r="G925">
        <v>47</v>
      </c>
      <c r="H925" t="s">
        <v>2</v>
      </c>
      <c r="I925" s="3">
        <v>3</v>
      </c>
      <c r="J925" s="2">
        <v>30</v>
      </c>
      <c r="K925" s="2">
        <v>90</v>
      </c>
    </row>
    <row r="926" spans="1:11" x14ac:dyDescent="0.3">
      <c r="A926">
        <v>580</v>
      </c>
      <c r="B926" s="1">
        <v>45266</v>
      </c>
      <c r="C926" s="3">
        <f t="shared" si="28"/>
        <v>2023</v>
      </c>
      <c r="D926" s="3">
        <f t="shared" si="29"/>
        <v>12</v>
      </c>
      <c r="E926" t="s">
        <v>385</v>
      </c>
      <c r="F926" t="s">
        <v>1023</v>
      </c>
      <c r="G926">
        <v>31</v>
      </c>
      <c r="H926" t="s">
        <v>3</v>
      </c>
      <c r="I926" s="3">
        <v>3</v>
      </c>
      <c r="J926" s="2">
        <v>500</v>
      </c>
      <c r="K926" s="2">
        <v>1500</v>
      </c>
    </row>
    <row r="927" spans="1:11" x14ac:dyDescent="0.3">
      <c r="A927">
        <v>712</v>
      </c>
      <c r="B927" s="1">
        <v>45266</v>
      </c>
      <c r="C927" s="3">
        <f t="shared" si="28"/>
        <v>2023</v>
      </c>
      <c r="D927" s="3">
        <f t="shared" si="29"/>
        <v>12</v>
      </c>
      <c r="E927" t="s">
        <v>596</v>
      </c>
      <c r="F927" t="s">
        <v>1023</v>
      </c>
      <c r="G927">
        <v>57</v>
      </c>
      <c r="H927" t="s">
        <v>2</v>
      </c>
      <c r="I927" s="3">
        <v>2</v>
      </c>
      <c r="J927" s="2">
        <v>25</v>
      </c>
      <c r="K927" s="2">
        <v>50</v>
      </c>
    </row>
    <row r="928" spans="1:11" x14ac:dyDescent="0.3">
      <c r="A928">
        <v>868</v>
      </c>
      <c r="B928" s="1">
        <v>45266</v>
      </c>
      <c r="C928" s="3">
        <f t="shared" si="28"/>
        <v>2023</v>
      </c>
      <c r="D928" s="3">
        <f t="shared" si="29"/>
        <v>12</v>
      </c>
      <c r="E928" t="s">
        <v>792</v>
      </c>
      <c r="F928" t="s">
        <v>1023</v>
      </c>
      <c r="G928">
        <v>25</v>
      </c>
      <c r="H928" t="s">
        <v>4</v>
      </c>
      <c r="I928" s="3">
        <v>1</v>
      </c>
      <c r="J928" s="2">
        <v>300</v>
      </c>
      <c r="K928" s="2">
        <v>300</v>
      </c>
    </row>
    <row r="929" spans="1:11" x14ac:dyDescent="0.3">
      <c r="A929">
        <v>531</v>
      </c>
      <c r="B929" s="1">
        <v>45267</v>
      </c>
      <c r="C929" s="3">
        <f t="shared" si="28"/>
        <v>2023</v>
      </c>
      <c r="D929" s="3">
        <f t="shared" si="29"/>
        <v>12</v>
      </c>
      <c r="E929" t="s">
        <v>898</v>
      </c>
      <c r="F929" t="s">
        <v>1022</v>
      </c>
      <c r="G929">
        <v>31</v>
      </c>
      <c r="H929" t="s">
        <v>4</v>
      </c>
      <c r="I929" s="3">
        <v>1</v>
      </c>
      <c r="J929" s="2">
        <v>500</v>
      </c>
      <c r="K929" s="2">
        <v>500</v>
      </c>
    </row>
    <row r="930" spans="1:11" x14ac:dyDescent="0.3">
      <c r="A930">
        <v>550</v>
      </c>
      <c r="B930" s="1">
        <v>45267</v>
      </c>
      <c r="C930" s="3">
        <f t="shared" si="28"/>
        <v>2023</v>
      </c>
      <c r="D930" s="3">
        <f t="shared" si="29"/>
        <v>12</v>
      </c>
      <c r="E930" t="s">
        <v>438</v>
      </c>
      <c r="F930" t="s">
        <v>1022</v>
      </c>
      <c r="G930">
        <v>40</v>
      </c>
      <c r="H930" t="s">
        <v>3</v>
      </c>
      <c r="I930" s="3">
        <v>3</v>
      </c>
      <c r="J930" s="2">
        <v>300</v>
      </c>
      <c r="K930" s="2">
        <v>900</v>
      </c>
    </row>
    <row r="931" spans="1:11" x14ac:dyDescent="0.3">
      <c r="A931">
        <v>392</v>
      </c>
      <c r="B931" s="1">
        <v>45268</v>
      </c>
      <c r="C931" s="3">
        <f t="shared" si="28"/>
        <v>2023</v>
      </c>
      <c r="D931" s="3">
        <f t="shared" si="29"/>
        <v>12</v>
      </c>
      <c r="E931" t="s">
        <v>624</v>
      </c>
      <c r="F931" t="s">
        <v>1022</v>
      </c>
      <c r="G931">
        <v>27</v>
      </c>
      <c r="H931" t="s">
        <v>3</v>
      </c>
      <c r="I931" s="3">
        <v>2</v>
      </c>
      <c r="J931" s="2">
        <v>300</v>
      </c>
      <c r="K931" s="2">
        <v>600</v>
      </c>
    </row>
    <row r="932" spans="1:11" x14ac:dyDescent="0.3">
      <c r="A932">
        <v>453</v>
      </c>
      <c r="B932" s="1">
        <v>45268</v>
      </c>
      <c r="C932" s="3">
        <f t="shared" si="28"/>
        <v>2023</v>
      </c>
      <c r="D932" s="3">
        <f t="shared" si="29"/>
        <v>12</v>
      </c>
      <c r="E932" t="s">
        <v>639</v>
      </c>
      <c r="F932" t="s">
        <v>1023</v>
      </c>
      <c r="G932">
        <v>26</v>
      </c>
      <c r="H932" t="s">
        <v>3</v>
      </c>
      <c r="I932" s="3">
        <v>2</v>
      </c>
      <c r="J932" s="2">
        <v>500</v>
      </c>
      <c r="K932" s="2">
        <v>1000</v>
      </c>
    </row>
    <row r="933" spans="1:11" x14ac:dyDescent="0.3">
      <c r="A933">
        <v>540</v>
      </c>
      <c r="B933" s="1">
        <v>45268</v>
      </c>
      <c r="C933" s="3">
        <f t="shared" si="28"/>
        <v>2023</v>
      </c>
      <c r="D933" s="3">
        <f t="shared" si="29"/>
        <v>12</v>
      </c>
      <c r="E933" t="s">
        <v>436</v>
      </c>
      <c r="F933" t="s">
        <v>1023</v>
      </c>
      <c r="G933">
        <v>46</v>
      </c>
      <c r="H933" t="s">
        <v>4</v>
      </c>
      <c r="I933" s="3">
        <v>3</v>
      </c>
      <c r="J933" s="2">
        <v>300</v>
      </c>
      <c r="K933" s="2">
        <v>900</v>
      </c>
    </row>
    <row r="934" spans="1:11" x14ac:dyDescent="0.3">
      <c r="A934">
        <v>625</v>
      </c>
      <c r="B934" s="1">
        <v>45268</v>
      </c>
      <c r="C934" s="3">
        <f t="shared" si="28"/>
        <v>2023</v>
      </c>
      <c r="D934" s="3">
        <f t="shared" si="29"/>
        <v>12</v>
      </c>
      <c r="E934" t="s">
        <v>925</v>
      </c>
      <c r="F934" t="s">
        <v>1022</v>
      </c>
      <c r="G934">
        <v>31</v>
      </c>
      <c r="H934" t="s">
        <v>3</v>
      </c>
      <c r="I934" s="3">
        <v>1</v>
      </c>
      <c r="J934" s="2">
        <v>300</v>
      </c>
      <c r="K934" s="2">
        <v>300</v>
      </c>
    </row>
    <row r="935" spans="1:11" x14ac:dyDescent="0.3">
      <c r="A935">
        <v>244</v>
      </c>
      <c r="B935" s="1">
        <v>45269</v>
      </c>
      <c r="C935" s="3">
        <f t="shared" si="28"/>
        <v>2023</v>
      </c>
      <c r="D935" s="3">
        <f t="shared" si="29"/>
        <v>12</v>
      </c>
      <c r="E935" t="s">
        <v>756</v>
      </c>
      <c r="F935" t="s">
        <v>1022</v>
      </c>
      <c r="G935">
        <v>28</v>
      </c>
      <c r="H935" t="s">
        <v>2</v>
      </c>
      <c r="I935" s="3">
        <v>2</v>
      </c>
      <c r="J935" s="2">
        <v>50</v>
      </c>
      <c r="K935" s="2">
        <v>100</v>
      </c>
    </row>
    <row r="936" spans="1:11" x14ac:dyDescent="0.3">
      <c r="A936">
        <v>355</v>
      </c>
      <c r="B936" s="1">
        <v>45269</v>
      </c>
      <c r="C936" s="3">
        <f t="shared" si="28"/>
        <v>2023</v>
      </c>
      <c r="D936" s="3">
        <f t="shared" si="29"/>
        <v>12</v>
      </c>
      <c r="E936" t="s">
        <v>920</v>
      </c>
      <c r="F936" t="s">
        <v>1023</v>
      </c>
      <c r="G936">
        <v>55</v>
      </c>
      <c r="H936" t="s">
        <v>4</v>
      </c>
      <c r="I936" s="3">
        <v>1</v>
      </c>
      <c r="J936" s="2">
        <v>500</v>
      </c>
      <c r="K936" s="2">
        <v>500</v>
      </c>
    </row>
    <row r="937" spans="1:11" x14ac:dyDescent="0.3">
      <c r="A937">
        <v>468</v>
      </c>
      <c r="B937" s="1">
        <v>45269</v>
      </c>
      <c r="C937" s="3">
        <f t="shared" si="28"/>
        <v>2023</v>
      </c>
      <c r="D937" s="3">
        <f t="shared" si="29"/>
        <v>12</v>
      </c>
      <c r="E937" t="s">
        <v>884</v>
      </c>
      <c r="F937" t="s">
        <v>1022</v>
      </c>
      <c r="G937">
        <v>40</v>
      </c>
      <c r="H937" t="s">
        <v>4</v>
      </c>
      <c r="I937" s="3">
        <v>1</v>
      </c>
      <c r="J937" s="2">
        <v>25</v>
      </c>
      <c r="K937" s="2">
        <v>25</v>
      </c>
    </row>
    <row r="938" spans="1:11" x14ac:dyDescent="0.3">
      <c r="A938">
        <v>700</v>
      </c>
      <c r="B938" s="1">
        <v>45269</v>
      </c>
      <c r="C938" s="3">
        <f t="shared" si="28"/>
        <v>2023</v>
      </c>
      <c r="D938" s="3">
        <f t="shared" si="29"/>
        <v>12</v>
      </c>
      <c r="E938" t="s">
        <v>40</v>
      </c>
      <c r="F938" t="s">
        <v>1022</v>
      </c>
      <c r="G938">
        <v>36</v>
      </c>
      <c r="H938" t="s">
        <v>4</v>
      </c>
      <c r="I938" s="3">
        <v>4</v>
      </c>
      <c r="J938" s="2">
        <v>500</v>
      </c>
      <c r="K938" s="2">
        <v>2000</v>
      </c>
    </row>
    <row r="939" spans="1:11" x14ac:dyDescent="0.3">
      <c r="A939">
        <v>752</v>
      </c>
      <c r="B939" s="1">
        <v>45269</v>
      </c>
      <c r="C939" s="3">
        <f t="shared" si="28"/>
        <v>2023</v>
      </c>
      <c r="D939" s="3">
        <f t="shared" si="29"/>
        <v>12</v>
      </c>
      <c r="E939" t="s">
        <v>595</v>
      </c>
      <c r="F939" t="s">
        <v>1022</v>
      </c>
      <c r="G939">
        <v>29</v>
      </c>
      <c r="H939" t="s">
        <v>3</v>
      </c>
      <c r="I939" s="3">
        <v>2</v>
      </c>
      <c r="J939" s="2">
        <v>50</v>
      </c>
      <c r="K939" s="2">
        <v>100</v>
      </c>
    </row>
    <row r="940" spans="1:11" x14ac:dyDescent="0.3">
      <c r="A940">
        <v>828</v>
      </c>
      <c r="B940" s="1">
        <v>45269</v>
      </c>
      <c r="C940" s="3">
        <f t="shared" si="28"/>
        <v>2023</v>
      </c>
      <c r="D940" s="3">
        <f t="shared" si="29"/>
        <v>12</v>
      </c>
      <c r="E940" t="s">
        <v>26</v>
      </c>
      <c r="F940" t="s">
        <v>1023</v>
      </c>
      <c r="G940">
        <v>33</v>
      </c>
      <c r="H940" t="s">
        <v>4</v>
      </c>
      <c r="I940" s="3">
        <v>4</v>
      </c>
      <c r="J940" s="2">
        <v>300</v>
      </c>
      <c r="K940" s="2">
        <v>1200</v>
      </c>
    </row>
    <row r="941" spans="1:11" x14ac:dyDescent="0.3">
      <c r="A941">
        <v>80</v>
      </c>
      <c r="B941" s="1">
        <v>45270</v>
      </c>
      <c r="C941" s="3">
        <f t="shared" si="28"/>
        <v>2023</v>
      </c>
      <c r="D941" s="3">
        <f t="shared" si="29"/>
        <v>12</v>
      </c>
      <c r="E941" t="s">
        <v>689</v>
      </c>
      <c r="F941" t="s">
        <v>1023</v>
      </c>
      <c r="G941">
        <v>64</v>
      </c>
      <c r="H941" t="s">
        <v>3</v>
      </c>
      <c r="I941" s="3">
        <v>2</v>
      </c>
      <c r="J941" s="2">
        <v>30</v>
      </c>
      <c r="K941" s="2">
        <v>60</v>
      </c>
    </row>
    <row r="942" spans="1:11" x14ac:dyDescent="0.3">
      <c r="A942">
        <v>214</v>
      </c>
      <c r="B942" s="1">
        <v>45270</v>
      </c>
      <c r="C942" s="3">
        <f t="shared" si="28"/>
        <v>2023</v>
      </c>
      <c r="D942" s="3">
        <f t="shared" si="29"/>
        <v>12</v>
      </c>
      <c r="E942" t="s">
        <v>728</v>
      </c>
      <c r="F942" t="s">
        <v>1022</v>
      </c>
      <c r="G942">
        <v>20</v>
      </c>
      <c r="H942" t="s">
        <v>2</v>
      </c>
      <c r="I942" s="3">
        <v>2</v>
      </c>
      <c r="J942" s="2">
        <v>30</v>
      </c>
      <c r="K942" s="2">
        <v>60</v>
      </c>
    </row>
    <row r="943" spans="1:11" x14ac:dyDescent="0.3">
      <c r="A943">
        <v>361</v>
      </c>
      <c r="B943" s="1">
        <v>45270</v>
      </c>
      <c r="C943" s="3">
        <f t="shared" si="28"/>
        <v>2023</v>
      </c>
      <c r="D943" s="3">
        <f t="shared" si="29"/>
        <v>12</v>
      </c>
      <c r="E943" t="s">
        <v>189</v>
      </c>
      <c r="F943" t="s">
        <v>1023</v>
      </c>
      <c r="G943">
        <v>34</v>
      </c>
      <c r="H943" t="s">
        <v>4</v>
      </c>
      <c r="I943" s="3">
        <v>4</v>
      </c>
      <c r="J943" s="2">
        <v>300</v>
      </c>
      <c r="K943" s="2">
        <v>1200</v>
      </c>
    </row>
    <row r="944" spans="1:11" x14ac:dyDescent="0.3">
      <c r="A944">
        <v>526</v>
      </c>
      <c r="B944" s="1">
        <v>45270</v>
      </c>
      <c r="C944" s="3">
        <f t="shared" si="28"/>
        <v>2023</v>
      </c>
      <c r="D944" s="3">
        <f t="shared" si="29"/>
        <v>12</v>
      </c>
      <c r="E944" t="s">
        <v>612</v>
      </c>
      <c r="F944" t="s">
        <v>1022</v>
      </c>
      <c r="G944">
        <v>33</v>
      </c>
      <c r="H944" t="s">
        <v>3</v>
      </c>
      <c r="I944" s="3">
        <v>2</v>
      </c>
      <c r="J944" s="2">
        <v>50</v>
      </c>
      <c r="K944" s="2">
        <v>100</v>
      </c>
    </row>
    <row r="945" spans="1:11" x14ac:dyDescent="0.3">
      <c r="A945">
        <v>265</v>
      </c>
      <c r="B945" s="1">
        <v>45271</v>
      </c>
      <c r="C945" s="3">
        <f t="shared" si="28"/>
        <v>2023</v>
      </c>
      <c r="D945" s="3">
        <f t="shared" si="29"/>
        <v>12</v>
      </c>
      <c r="E945" t="s">
        <v>500</v>
      </c>
      <c r="F945" t="s">
        <v>1022</v>
      </c>
      <c r="G945">
        <v>55</v>
      </c>
      <c r="H945" t="s">
        <v>3</v>
      </c>
      <c r="I945" s="3">
        <v>3</v>
      </c>
      <c r="J945" s="2">
        <v>300</v>
      </c>
      <c r="K945" s="2">
        <v>900</v>
      </c>
    </row>
    <row r="946" spans="1:11" x14ac:dyDescent="0.3">
      <c r="A946">
        <v>586</v>
      </c>
      <c r="B946" s="1">
        <v>45271</v>
      </c>
      <c r="C946" s="3">
        <f t="shared" si="28"/>
        <v>2023</v>
      </c>
      <c r="D946" s="3">
        <f t="shared" si="29"/>
        <v>12</v>
      </c>
      <c r="E946" t="s">
        <v>888</v>
      </c>
      <c r="F946" t="s">
        <v>1022</v>
      </c>
      <c r="G946">
        <v>50</v>
      </c>
      <c r="H946" t="s">
        <v>4</v>
      </c>
      <c r="I946" s="3">
        <v>1</v>
      </c>
      <c r="J946" s="2">
        <v>50</v>
      </c>
      <c r="K946" s="2">
        <v>50</v>
      </c>
    </row>
    <row r="947" spans="1:11" x14ac:dyDescent="0.3">
      <c r="A947">
        <v>336</v>
      </c>
      <c r="B947" s="1">
        <v>45272</v>
      </c>
      <c r="C947" s="3">
        <f t="shared" si="28"/>
        <v>2023</v>
      </c>
      <c r="D947" s="3">
        <f t="shared" si="29"/>
        <v>12</v>
      </c>
      <c r="E947" t="s">
        <v>372</v>
      </c>
      <c r="F947" t="s">
        <v>1023</v>
      </c>
      <c r="G947">
        <v>52</v>
      </c>
      <c r="H947" t="s">
        <v>2</v>
      </c>
      <c r="I947" s="3">
        <v>3</v>
      </c>
      <c r="J947" s="2">
        <v>50</v>
      </c>
      <c r="K947" s="2">
        <v>150</v>
      </c>
    </row>
    <row r="948" spans="1:11" x14ac:dyDescent="0.3">
      <c r="A948">
        <v>571</v>
      </c>
      <c r="B948" s="1">
        <v>45272</v>
      </c>
      <c r="C948" s="3">
        <f t="shared" si="28"/>
        <v>2023</v>
      </c>
      <c r="D948" s="3">
        <f t="shared" si="29"/>
        <v>12</v>
      </c>
      <c r="E948" t="s">
        <v>931</v>
      </c>
      <c r="F948" t="s">
        <v>1023</v>
      </c>
      <c r="G948">
        <v>41</v>
      </c>
      <c r="H948" t="s">
        <v>4</v>
      </c>
      <c r="I948" s="3">
        <v>1</v>
      </c>
      <c r="J948" s="2">
        <v>50</v>
      </c>
      <c r="K948" s="2">
        <v>50</v>
      </c>
    </row>
    <row r="949" spans="1:11" x14ac:dyDescent="0.3">
      <c r="A949">
        <v>9</v>
      </c>
      <c r="B949" s="1">
        <v>45273</v>
      </c>
      <c r="C949" s="3">
        <f t="shared" si="28"/>
        <v>2023</v>
      </c>
      <c r="D949" s="3">
        <f t="shared" si="29"/>
        <v>12</v>
      </c>
      <c r="E949" t="s">
        <v>754</v>
      </c>
      <c r="F949" t="s">
        <v>1022</v>
      </c>
      <c r="G949">
        <v>63</v>
      </c>
      <c r="H949" t="s">
        <v>4</v>
      </c>
      <c r="I949" s="3">
        <v>2</v>
      </c>
      <c r="J949" s="2">
        <v>300</v>
      </c>
      <c r="K949" s="2">
        <v>600</v>
      </c>
    </row>
    <row r="950" spans="1:11" x14ac:dyDescent="0.3">
      <c r="A950">
        <v>552</v>
      </c>
      <c r="B950" s="1">
        <v>45273</v>
      </c>
      <c r="C950" s="3">
        <f t="shared" si="28"/>
        <v>2023</v>
      </c>
      <c r="D950" s="3">
        <f t="shared" si="29"/>
        <v>12</v>
      </c>
      <c r="E950" t="s">
        <v>443</v>
      </c>
      <c r="F950" t="s">
        <v>1023</v>
      </c>
      <c r="G950">
        <v>49</v>
      </c>
      <c r="H950" t="s">
        <v>4</v>
      </c>
      <c r="I950" s="3">
        <v>3</v>
      </c>
      <c r="J950" s="2">
        <v>25</v>
      </c>
      <c r="K950" s="2">
        <v>75</v>
      </c>
    </row>
    <row r="951" spans="1:11" x14ac:dyDescent="0.3">
      <c r="A951">
        <v>771</v>
      </c>
      <c r="B951" s="1">
        <v>45273</v>
      </c>
      <c r="C951" s="3">
        <f t="shared" si="28"/>
        <v>2023</v>
      </c>
      <c r="D951" s="3">
        <f t="shared" si="29"/>
        <v>12</v>
      </c>
      <c r="E951" t="s">
        <v>533</v>
      </c>
      <c r="F951" t="s">
        <v>1022</v>
      </c>
      <c r="G951">
        <v>24</v>
      </c>
      <c r="H951" t="s">
        <v>4</v>
      </c>
      <c r="I951" s="3">
        <v>2</v>
      </c>
      <c r="J951" s="2">
        <v>25</v>
      </c>
      <c r="K951" s="2">
        <v>50</v>
      </c>
    </row>
    <row r="952" spans="1:11" x14ac:dyDescent="0.3">
      <c r="A952">
        <v>496</v>
      </c>
      <c r="B952" s="1">
        <v>45274</v>
      </c>
      <c r="C952" s="3">
        <f t="shared" si="28"/>
        <v>2023</v>
      </c>
      <c r="D952" s="3">
        <f t="shared" si="29"/>
        <v>12</v>
      </c>
      <c r="E952" t="s">
        <v>625</v>
      </c>
      <c r="F952" t="s">
        <v>1022</v>
      </c>
      <c r="G952">
        <v>23</v>
      </c>
      <c r="H952" t="s">
        <v>3</v>
      </c>
      <c r="I952" s="3">
        <v>2</v>
      </c>
      <c r="J952" s="2">
        <v>300</v>
      </c>
      <c r="K952" s="2">
        <v>600</v>
      </c>
    </row>
    <row r="953" spans="1:11" x14ac:dyDescent="0.3">
      <c r="A953">
        <v>701</v>
      </c>
      <c r="B953" s="1">
        <v>45274</v>
      </c>
      <c r="C953" s="3">
        <f t="shared" si="28"/>
        <v>2023</v>
      </c>
      <c r="D953" s="3">
        <f t="shared" si="29"/>
        <v>12</v>
      </c>
      <c r="E953" t="s">
        <v>568</v>
      </c>
      <c r="F953" t="s">
        <v>1023</v>
      </c>
      <c r="G953">
        <v>52</v>
      </c>
      <c r="H953" t="s">
        <v>2</v>
      </c>
      <c r="I953" s="3">
        <v>2</v>
      </c>
      <c r="J953" s="2">
        <v>30</v>
      </c>
      <c r="K953" s="2">
        <v>60</v>
      </c>
    </row>
    <row r="954" spans="1:11" x14ac:dyDescent="0.3">
      <c r="A954">
        <v>139</v>
      </c>
      <c r="B954" s="1">
        <v>45275</v>
      </c>
      <c r="C954" s="3">
        <f t="shared" si="28"/>
        <v>2023</v>
      </c>
      <c r="D954" s="3">
        <f t="shared" si="29"/>
        <v>12</v>
      </c>
      <c r="E954" t="s">
        <v>268</v>
      </c>
      <c r="F954" t="s">
        <v>1022</v>
      </c>
      <c r="G954">
        <v>36</v>
      </c>
      <c r="H954" t="s">
        <v>2</v>
      </c>
      <c r="I954" s="3">
        <v>4</v>
      </c>
      <c r="J954" s="2">
        <v>500</v>
      </c>
      <c r="K954" s="2">
        <v>2000</v>
      </c>
    </row>
    <row r="955" spans="1:11" x14ac:dyDescent="0.3">
      <c r="A955">
        <v>151</v>
      </c>
      <c r="B955" s="1">
        <v>45275</v>
      </c>
      <c r="C955" s="3">
        <f t="shared" si="28"/>
        <v>2023</v>
      </c>
      <c r="D955" s="3">
        <f t="shared" si="29"/>
        <v>12</v>
      </c>
      <c r="E955" t="s">
        <v>981</v>
      </c>
      <c r="F955" t="s">
        <v>1022</v>
      </c>
      <c r="G955">
        <v>29</v>
      </c>
      <c r="H955" t="s">
        <v>3</v>
      </c>
      <c r="I955" s="3">
        <v>1</v>
      </c>
      <c r="J955" s="2">
        <v>50</v>
      </c>
      <c r="K955" s="2">
        <v>50</v>
      </c>
    </row>
    <row r="956" spans="1:11" x14ac:dyDescent="0.3">
      <c r="A956">
        <v>83</v>
      </c>
      <c r="B956" s="1">
        <v>45276</v>
      </c>
      <c r="C956" s="3">
        <f t="shared" si="28"/>
        <v>2023</v>
      </c>
      <c r="D956" s="3">
        <f t="shared" si="29"/>
        <v>12</v>
      </c>
      <c r="E956" t="s">
        <v>709</v>
      </c>
      <c r="F956" t="s">
        <v>1022</v>
      </c>
      <c r="G956">
        <v>54</v>
      </c>
      <c r="H956" t="s">
        <v>4</v>
      </c>
      <c r="I956" s="3">
        <v>2</v>
      </c>
      <c r="J956" s="2">
        <v>50</v>
      </c>
      <c r="K956" s="2">
        <v>100</v>
      </c>
    </row>
    <row r="957" spans="1:11" x14ac:dyDescent="0.3">
      <c r="A957">
        <v>153</v>
      </c>
      <c r="B957" s="1">
        <v>45276</v>
      </c>
      <c r="C957" s="3">
        <f t="shared" si="28"/>
        <v>2023</v>
      </c>
      <c r="D957" s="3">
        <f t="shared" si="29"/>
        <v>12</v>
      </c>
      <c r="E957" t="s">
        <v>731</v>
      </c>
      <c r="F957" t="s">
        <v>1022</v>
      </c>
      <c r="G957">
        <v>63</v>
      </c>
      <c r="H957" t="s">
        <v>4</v>
      </c>
      <c r="I957" s="3">
        <v>2</v>
      </c>
      <c r="J957" s="2">
        <v>500</v>
      </c>
      <c r="K957" s="2">
        <v>1000</v>
      </c>
    </row>
    <row r="958" spans="1:11" x14ac:dyDescent="0.3">
      <c r="A958">
        <v>451</v>
      </c>
      <c r="B958" s="1">
        <v>45276</v>
      </c>
      <c r="C958" s="3">
        <f t="shared" si="28"/>
        <v>2023</v>
      </c>
      <c r="D958" s="3">
        <f t="shared" si="29"/>
        <v>12</v>
      </c>
      <c r="E958" t="s">
        <v>917</v>
      </c>
      <c r="F958" t="s">
        <v>1023</v>
      </c>
      <c r="G958">
        <v>45</v>
      </c>
      <c r="H958" t="s">
        <v>4</v>
      </c>
      <c r="I958" s="3">
        <v>1</v>
      </c>
      <c r="J958" s="2">
        <v>30</v>
      </c>
      <c r="K958" s="2">
        <v>30</v>
      </c>
    </row>
    <row r="959" spans="1:11" x14ac:dyDescent="0.3">
      <c r="A959">
        <v>99</v>
      </c>
      <c r="B959" s="1">
        <v>45277</v>
      </c>
      <c r="C959" s="3">
        <f t="shared" si="28"/>
        <v>2023</v>
      </c>
      <c r="D959" s="3">
        <f t="shared" si="29"/>
        <v>12</v>
      </c>
      <c r="E959" t="s">
        <v>246</v>
      </c>
      <c r="F959" t="s">
        <v>1023</v>
      </c>
      <c r="G959">
        <v>50</v>
      </c>
      <c r="H959" t="s">
        <v>4</v>
      </c>
      <c r="I959" s="3">
        <v>4</v>
      </c>
      <c r="J959" s="2">
        <v>300</v>
      </c>
      <c r="K959" s="2">
        <v>1200</v>
      </c>
    </row>
    <row r="960" spans="1:11" x14ac:dyDescent="0.3">
      <c r="A960">
        <v>783</v>
      </c>
      <c r="B960" s="1">
        <v>45277</v>
      </c>
      <c r="C960" s="3">
        <f t="shared" si="28"/>
        <v>2023</v>
      </c>
      <c r="D960" s="3">
        <f t="shared" si="29"/>
        <v>12</v>
      </c>
      <c r="E960" t="s">
        <v>809</v>
      </c>
      <c r="F960" t="s">
        <v>1023</v>
      </c>
      <c r="G960">
        <v>56</v>
      </c>
      <c r="H960" t="s">
        <v>3</v>
      </c>
      <c r="I960" s="3">
        <v>1</v>
      </c>
      <c r="J960" s="2">
        <v>300</v>
      </c>
      <c r="K960" s="2">
        <v>300</v>
      </c>
    </row>
    <row r="961" spans="1:11" x14ac:dyDescent="0.3">
      <c r="A961">
        <v>409</v>
      </c>
      <c r="B961" s="1">
        <v>45278</v>
      </c>
      <c r="C961" s="3">
        <f t="shared" si="28"/>
        <v>2023</v>
      </c>
      <c r="D961" s="3">
        <f t="shared" si="29"/>
        <v>12</v>
      </c>
      <c r="E961" t="s">
        <v>387</v>
      </c>
      <c r="F961" t="s">
        <v>1023</v>
      </c>
      <c r="G961">
        <v>21</v>
      </c>
      <c r="H961" t="s">
        <v>4</v>
      </c>
      <c r="I961" s="3">
        <v>3</v>
      </c>
      <c r="J961" s="2">
        <v>300</v>
      </c>
      <c r="K961" s="2">
        <v>900</v>
      </c>
    </row>
    <row r="962" spans="1:11" x14ac:dyDescent="0.3">
      <c r="A962">
        <v>525</v>
      </c>
      <c r="B962" s="1">
        <v>45278</v>
      </c>
      <c r="C962" s="3">
        <f t="shared" ref="C962:C1016" si="30">YEAR(B962)</f>
        <v>2023</v>
      </c>
      <c r="D962" s="3">
        <f t="shared" ref="D962:D1016" si="31">MONTH(B962)</f>
        <v>12</v>
      </c>
      <c r="E962" t="s">
        <v>610</v>
      </c>
      <c r="F962" t="s">
        <v>1023</v>
      </c>
      <c r="G962">
        <v>47</v>
      </c>
      <c r="H962" t="s">
        <v>2</v>
      </c>
      <c r="I962" s="3">
        <v>2</v>
      </c>
      <c r="J962" s="2">
        <v>25</v>
      </c>
      <c r="K962" s="2">
        <v>50</v>
      </c>
    </row>
    <row r="963" spans="1:11" x14ac:dyDescent="0.3">
      <c r="A963">
        <v>939</v>
      </c>
      <c r="B963" s="1">
        <v>45278</v>
      </c>
      <c r="C963" s="3">
        <f t="shared" si="30"/>
        <v>2023</v>
      </c>
      <c r="D963" s="3">
        <f t="shared" si="31"/>
        <v>12</v>
      </c>
      <c r="E963" t="s">
        <v>832</v>
      </c>
      <c r="F963" t="s">
        <v>1023</v>
      </c>
      <c r="G963">
        <v>46</v>
      </c>
      <c r="H963" t="s">
        <v>4</v>
      </c>
      <c r="I963" s="3">
        <v>1</v>
      </c>
      <c r="J963" s="2">
        <v>300</v>
      </c>
      <c r="K963" s="2">
        <v>300</v>
      </c>
    </row>
    <row r="964" spans="1:11" x14ac:dyDescent="0.3">
      <c r="A964">
        <v>994</v>
      </c>
      <c r="B964" s="1">
        <v>45278</v>
      </c>
      <c r="C964" s="3">
        <f t="shared" si="30"/>
        <v>2023</v>
      </c>
      <c r="D964" s="3">
        <f t="shared" si="31"/>
        <v>12</v>
      </c>
      <c r="E964" t="s">
        <v>557</v>
      </c>
      <c r="F964" t="s">
        <v>1023</v>
      </c>
      <c r="G964">
        <v>51</v>
      </c>
      <c r="H964" t="s">
        <v>2</v>
      </c>
      <c r="I964" s="3">
        <v>2</v>
      </c>
      <c r="J964" s="2">
        <v>500</v>
      </c>
      <c r="K964" s="2">
        <v>1000</v>
      </c>
    </row>
    <row r="965" spans="1:11" x14ac:dyDescent="0.3">
      <c r="A965">
        <v>96</v>
      </c>
      <c r="B965" s="1">
        <v>45279</v>
      </c>
      <c r="C965" s="3">
        <f t="shared" si="30"/>
        <v>2023</v>
      </c>
      <c r="D965" s="3">
        <f t="shared" si="31"/>
        <v>12</v>
      </c>
      <c r="E965" t="s">
        <v>761</v>
      </c>
      <c r="F965" t="s">
        <v>1023</v>
      </c>
      <c r="G965">
        <v>44</v>
      </c>
      <c r="H965" t="s">
        <v>3</v>
      </c>
      <c r="I965" s="3">
        <v>2</v>
      </c>
      <c r="J965" s="2">
        <v>300</v>
      </c>
      <c r="K965" s="2">
        <v>600</v>
      </c>
    </row>
    <row r="966" spans="1:11" x14ac:dyDescent="0.3">
      <c r="A966">
        <v>609</v>
      </c>
      <c r="B966" s="1">
        <v>45279</v>
      </c>
      <c r="C966" s="3">
        <f t="shared" si="30"/>
        <v>2023</v>
      </c>
      <c r="D966" s="3">
        <f t="shared" si="31"/>
        <v>12</v>
      </c>
      <c r="E966" t="s">
        <v>619</v>
      </c>
      <c r="F966" t="s">
        <v>1023</v>
      </c>
      <c r="G966">
        <v>47</v>
      </c>
      <c r="H966" t="s">
        <v>3</v>
      </c>
      <c r="I966" s="3">
        <v>2</v>
      </c>
      <c r="J966" s="2">
        <v>50</v>
      </c>
      <c r="K966" s="2">
        <v>100</v>
      </c>
    </row>
    <row r="967" spans="1:11" x14ac:dyDescent="0.3">
      <c r="A967">
        <v>982</v>
      </c>
      <c r="B967" s="1">
        <v>45279</v>
      </c>
      <c r="C967" s="3">
        <f t="shared" si="30"/>
        <v>2023</v>
      </c>
      <c r="D967" s="3">
        <f t="shared" si="31"/>
        <v>12</v>
      </c>
      <c r="E967" t="s">
        <v>359</v>
      </c>
      <c r="F967" t="s">
        <v>1023</v>
      </c>
      <c r="G967">
        <v>46</v>
      </c>
      <c r="H967" t="s">
        <v>2</v>
      </c>
      <c r="I967" s="3">
        <v>3</v>
      </c>
      <c r="J967" s="2">
        <v>30</v>
      </c>
      <c r="K967" s="2">
        <v>90</v>
      </c>
    </row>
    <row r="968" spans="1:11" x14ac:dyDescent="0.3">
      <c r="A968">
        <v>209</v>
      </c>
      <c r="B968" s="1">
        <v>45280</v>
      </c>
      <c r="C968" s="3">
        <f t="shared" si="30"/>
        <v>2023</v>
      </c>
      <c r="D968" s="3">
        <f t="shared" si="31"/>
        <v>12</v>
      </c>
      <c r="E968" t="s">
        <v>249</v>
      </c>
      <c r="F968" t="s">
        <v>1023</v>
      </c>
      <c r="G968">
        <v>30</v>
      </c>
      <c r="H968" t="s">
        <v>4</v>
      </c>
      <c r="I968" s="3">
        <v>4</v>
      </c>
      <c r="J968" s="2">
        <v>50</v>
      </c>
      <c r="K968" s="2">
        <v>200</v>
      </c>
    </row>
    <row r="969" spans="1:11" x14ac:dyDescent="0.3">
      <c r="A969">
        <v>435</v>
      </c>
      <c r="B969" s="1">
        <v>45280</v>
      </c>
      <c r="C969" s="3">
        <f t="shared" si="30"/>
        <v>2023</v>
      </c>
      <c r="D969" s="3">
        <f t="shared" si="31"/>
        <v>12</v>
      </c>
      <c r="E969" t="s">
        <v>439</v>
      </c>
      <c r="F969" t="s">
        <v>1023</v>
      </c>
      <c r="G969">
        <v>30</v>
      </c>
      <c r="H969" t="s">
        <v>2</v>
      </c>
      <c r="I969" s="3">
        <v>3</v>
      </c>
      <c r="J969" s="2">
        <v>300</v>
      </c>
      <c r="K969" s="2">
        <v>900</v>
      </c>
    </row>
    <row r="970" spans="1:11" x14ac:dyDescent="0.3">
      <c r="A970">
        <v>777</v>
      </c>
      <c r="B970" s="1">
        <v>45280</v>
      </c>
      <c r="C970" s="3">
        <f t="shared" si="30"/>
        <v>2023</v>
      </c>
      <c r="D970" s="3">
        <f t="shared" si="31"/>
        <v>12</v>
      </c>
      <c r="E970" t="s">
        <v>308</v>
      </c>
      <c r="F970" t="s">
        <v>1022</v>
      </c>
      <c r="G970">
        <v>48</v>
      </c>
      <c r="H970" t="s">
        <v>4</v>
      </c>
      <c r="I970" s="3">
        <v>3</v>
      </c>
      <c r="J970" s="2">
        <v>50</v>
      </c>
      <c r="K970" s="2">
        <v>150</v>
      </c>
    </row>
    <row r="971" spans="1:11" x14ac:dyDescent="0.3">
      <c r="A971">
        <v>854</v>
      </c>
      <c r="B971" s="1">
        <v>45280</v>
      </c>
      <c r="C971" s="3">
        <f t="shared" si="30"/>
        <v>2023</v>
      </c>
      <c r="D971" s="3">
        <f t="shared" si="31"/>
        <v>12</v>
      </c>
      <c r="E971" t="s">
        <v>789</v>
      </c>
      <c r="F971" t="s">
        <v>1022</v>
      </c>
      <c r="G971">
        <v>29</v>
      </c>
      <c r="H971" t="s">
        <v>3</v>
      </c>
      <c r="I971" s="3">
        <v>1</v>
      </c>
      <c r="J971" s="2">
        <v>50</v>
      </c>
      <c r="K971" s="2">
        <v>50</v>
      </c>
    </row>
    <row r="972" spans="1:11" x14ac:dyDescent="0.3">
      <c r="A972">
        <v>890</v>
      </c>
      <c r="B972" s="1">
        <v>45280</v>
      </c>
      <c r="C972" s="3">
        <f t="shared" si="30"/>
        <v>2023</v>
      </c>
      <c r="D972" s="3">
        <f t="shared" si="31"/>
        <v>12</v>
      </c>
      <c r="E972" t="s">
        <v>572</v>
      </c>
      <c r="F972" t="s">
        <v>1022</v>
      </c>
      <c r="G972">
        <v>34</v>
      </c>
      <c r="H972" t="s">
        <v>4</v>
      </c>
      <c r="I972" s="3">
        <v>2</v>
      </c>
      <c r="J972" s="2">
        <v>25</v>
      </c>
      <c r="K972" s="2">
        <v>50</v>
      </c>
    </row>
    <row r="973" spans="1:11" x14ac:dyDescent="0.3">
      <c r="A973">
        <v>865</v>
      </c>
      <c r="B973" s="1">
        <v>45281</v>
      </c>
      <c r="C973" s="3">
        <f t="shared" si="30"/>
        <v>2023</v>
      </c>
      <c r="D973" s="3">
        <f t="shared" si="31"/>
        <v>12</v>
      </c>
      <c r="E973" t="s">
        <v>784</v>
      </c>
      <c r="F973" t="s">
        <v>1023</v>
      </c>
      <c r="G973">
        <v>42</v>
      </c>
      <c r="H973" t="s">
        <v>3</v>
      </c>
      <c r="I973" s="3">
        <v>1</v>
      </c>
      <c r="J973" s="2">
        <v>300</v>
      </c>
      <c r="K973" s="2">
        <v>300</v>
      </c>
    </row>
    <row r="974" spans="1:11" x14ac:dyDescent="0.3">
      <c r="A974">
        <v>662</v>
      </c>
      <c r="B974" s="1">
        <v>45282</v>
      </c>
      <c r="C974" s="3">
        <f t="shared" si="30"/>
        <v>2023</v>
      </c>
      <c r="D974" s="3">
        <f t="shared" si="31"/>
        <v>12</v>
      </c>
      <c r="E974" t="s">
        <v>15</v>
      </c>
      <c r="F974" t="s">
        <v>1022</v>
      </c>
      <c r="G974">
        <v>48</v>
      </c>
      <c r="H974" t="s">
        <v>2</v>
      </c>
      <c r="I974" s="3">
        <v>2</v>
      </c>
      <c r="J974" s="2">
        <v>500</v>
      </c>
      <c r="K974" s="2">
        <v>1000</v>
      </c>
    </row>
    <row r="975" spans="1:11" x14ac:dyDescent="0.3">
      <c r="A975">
        <v>309</v>
      </c>
      <c r="B975" s="1">
        <v>45283</v>
      </c>
      <c r="C975" s="3">
        <f t="shared" si="30"/>
        <v>2023</v>
      </c>
      <c r="D975" s="3">
        <f t="shared" si="31"/>
        <v>12</v>
      </c>
      <c r="E975" t="s">
        <v>984</v>
      </c>
      <c r="F975" t="s">
        <v>1023</v>
      </c>
      <c r="G975">
        <v>26</v>
      </c>
      <c r="H975" t="s">
        <v>2</v>
      </c>
      <c r="I975" s="3">
        <v>1</v>
      </c>
      <c r="J975" s="2">
        <v>25</v>
      </c>
      <c r="K975" s="2">
        <v>25</v>
      </c>
    </row>
    <row r="976" spans="1:11" x14ac:dyDescent="0.3">
      <c r="A976">
        <v>544</v>
      </c>
      <c r="B976" s="1">
        <v>45283</v>
      </c>
      <c r="C976" s="3">
        <f t="shared" si="30"/>
        <v>2023</v>
      </c>
      <c r="D976" s="3">
        <f t="shared" si="31"/>
        <v>12</v>
      </c>
      <c r="E976" t="s">
        <v>896</v>
      </c>
      <c r="F976" t="s">
        <v>1023</v>
      </c>
      <c r="G976">
        <v>27</v>
      </c>
      <c r="H976" t="s">
        <v>4</v>
      </c>
      <c r="I976" s="3">
        <v>1</v>
      </c>
      <c r="J976" s="2">
        <v>25</v>
      </c>
      <c r="K976" s="2">
        <v>25</v>
      </c>
    </row>
    <row r="977" spans="1:11" x14ac:dyDescent="0.3">
      <c r="A977">
        <v>602</v>
      </c>
      <c r="B977" s="1">
        <v>45283</v>
      </c>
      <c r="C977" s="3">
        <f t="shared" si="30"/>
        <v>2023</v>
      </c>
      <c r="D977" s="3">
        <f t="shared" si="31"/>
        <v>12</v>
      </c>
      <c r="E977" t="s">
        <v>879</v>
      </c>
      <c r="F977" t="s">
        <v>1023</v>
      </c>
      <c r="G977">
        <v>20</v>
      </c>
      <c r="H977" t="s">
        <v>4</v>
      </c>
      <c r="I977" s="3">
        <v>1</v>
      </c>
      <c r="J977" s="2">
        <v>300</v>
      </c>
      <c r="K977" s="2">
        <v>300</v>
      </c>
    </row>
    <row r="978" spans="1:11" x14ac:dyDescent="0.3">
      <c r="A978">
        <v>615</v>
      </c>
      <c r="B978" s="1">
        <v>45283</v>
      </c>
      <c r="C978" s="3">
        <f t="shared" si="30"/>
        <v>2023</v>
      </c>
      <c r="D978" s="3">
        <f t="shared" si="31"/>
        <v>12</v>
      </c>
      <c r="E978" t="s">
        <v>168</v>
      </c>
      <c r="F978" t="s">
        <v>1023</v>
      </c>
      <c r="G978">
        <v>61</v>
      </c>
      <c r="H978" t="s">
        <v>3</v>
      </c>
      <c r="I978" s="3">
        <v>4</v>
      </c>
      <c r="J978" s="2">
        <v>25</v>
      </c>
      <c r="K978" s="2">
        <v>100</v>
      </c>
    </row>
    <row r="979" spans="1:11" x14ac:dyDescent="0.3">
      <c r="A979">
        <v>678</v>
      </c>
      <c r="B979" s="1">
        <v>45283</v>
      </c>
      <c r="C979" s="3">
        <f t="shared" si="30"/>
        <v>2023</v>
      </c>
      <c r="D979" s="3">
        <f t="shared" si="31"/>
        <v>12</v>
      </c>
      <c r="E979" t="s">
        <v>352</v>
      </c>
      <c r="F979" t="s">
        <v>1023</v>
      </c>
      <c r="G979">
        <v>60</v>
      </c>
      <c r="H979" t="s">
        <v>4</v>
      </c>
      <c r="I979" s="3">
        <v>3</v>
      </c>
      <c r="J979" s="2">
        <v>300</v>
      </c>
      <c r="K979" s="2">
        <v>900</v>
      </c>
    </row>
    <row r="980" spans="1:11" x14ac:dyDescent="0.3">
      <c r="A980">
        <v>781</v>
      </c>
      <c r="B980" s="1">
        <v>45283</v>
      </c>
      <c r="C980" s="3">
        <f t="shared" si="30"/>
        <v>2023</v>
      </c>
      <c r="D980" s="3">
        <f t="shared" si="31"/>
        <v>12</v>
      </c>
      <c r="E980" t="s">
        <v>767</v>
      </c>
      <c r="F980" t="s">
        <v>1022</v>
      </c>
      <c r="G980">
        <v>35</v>
      </c>
      <c r="H980" t="s">
        <v>2</v>
      </c>
      <c r="I980" s="3">
        <v>1</v>
      </c>
      <c r="J980" s="2">
        <v>500</v>
      </c>
      <c r="K980" s="2">
        <v>500</v>
      </c>
    </row>
    <row r="981" spans="1:11" x14ac:dyDescent="0.3">
      <c r="A981">
        <v>34</v>
      </c>
      <c r="B981" s="1">
        <v>45284</v>
      </c>
      <c r="C981" s="3">
        <f t="shared" si="30"/>
        <v>2023</v>
      </c>
      <c r="D981" s="3">
        <f t="shared" si="31"/>
        <v>12</v>
      </c>
      <c r="E981" t="s">
        <v>463</v>
      </c>
      <c r="F981" t="s">
        <v>1023</v>
      </c>
      <c r="G981">
        <v>51</v>
      </c>
      <c r="H981" t="s">
        <v>3</v>
      </c>
      <c r="I981" s="3">
        <v>3</v>
      </c>
      <c r="J981" s="2">
        <v>50</v>
      </c>
      <c r="K981" s="2">
        <v>150</v>
      </c>
    </row>
    <row r="982" spans="1:11" x14ac:dyDescent="0.3">
      <c r="A982">
        <v>916</v>
      </c>
      <c r="B982" s="1">
        <v>45284</v>
      </c>
      <c r="C982" s="3">
        <f t="shared" si="30"/>
        <v>2023</v>
      </c>
      <c r="D982" s="3">
        <f t="shared" si="31"/>
        <v>12</v>
      </c>
      <c r="E982" t="s">
        <v>786</v>
      </c>
      <c r="F982" t="s">
        <v>1023</v>
      </c>
      <c r="G982">
        <v>32</v>
      </c>
      <c r="H982" t="s">
        <v>4</v>
      </c>
      <c r="I982" s="3">
        <v>1</v>
      </c>
      <c r="J982" s="2">
        <v>50</v>
      </c>
      <c r="K982" s="2">
        <v>50</v>
      </c>
    </row>
    <row r="983" spans="1:11" x14ac:dyDescent="0.3">
      <c r="A983">
        <v>757</v>
      </c>
      <c r="B983" s="1">
        <v>45285</v>
      </c>
      <c r="C983" s="3">
        <f t="shared" si="30"/>
        <v>2023</v>
      </c>
      <c r="D983" s="3">
        <f t="shared" si="31"/>
        <v>12</v>
      </c>
      <c r="E983" t="s">
        <v>70</v>
      </c>
      <c r="F983" t="s">
        <v>1023</v>
      </c>
      <c r="G983">
        <v>43</v>
      </c>
      <c r="H983" t="s">
        <v>4</v>
      </c>
      <c r="I983" s="3">
        <v>4</v>
      </c>
      <c r="J983" s="2">
        <v>300</v>
      </c>
      <c r="K983" s="2">
        <v>1200</v>
      </c>
    </row>
    <row r="984" spans="1:11" x14ac:dyDescent="0.3">
      <c r="A984">
        <v>25</v>
      </c>
      <c r="B984" s="1">
        <v>45286</v>
      </c>
      <c r="C984" s="3">
        <f t="shared" si="30"/>
        <v>2023</v>
      </c>
      <c r="D984" s="3">
        <f t="shared" si="31"/>
        <v>12</v>
      </c>
      <c r="E984" t="s">
        <v>934</v>
      </c>
      <c r="F984" t="s">
        <v>1023</v>
      </c>
      <c r="G984">
        <v>64</v>
      </c>
      <c r="H984" t="s">
        <v>2</v>
      </c>
      <c r="I984" s="3">
        <v>1</v>
      </c>
      <c r="J984" s="2">
        <v>50</v>
      </c>
      <c r="K984" s="2">
        <v>50</v>
      </c>
    </row>
    <row r="985" spans="1:11" x14ac:dyDescent="0.3">
      <c r="A985">
        <v>82</v>
      </c>
      <c r="B985" s="1">
        <v>45286</v>
      </c>
      <c r="C985" s="3">
        <f t="shared" si="30"/>
        <v>2023</v>
      </c>
      <c r="D985" s="3">
        <f t="shared" si="31"/>
        <v>12</v>
      </c>
      <c r="E985" t="s">
        <v>238</v>
      </c>
      <c r="F985" t="s">
        <v>1023</v>
      </c>
      <c r="G985">
        <v>32</v>
      </c>
      <c r="H985" t="s">
        <v>2</v>
      </c>
      <c r="I985" s="3">
        <v>4</v>
      </c>
      <c r="J985" s="2">
        <v>50</v>
      </c>
      <c r="K985" s="2">
        <v>200</v>
      </c>
    </row>
    <row r="986" spans="1:11" x14ac:dyDescent="0.3">
      <c r="A986">
        <v>472</v>
      </c>
      <c r="B986" s="1">
        <v>45286</v>
      </c>
      <c r="C986" s="3">
        <f t="shared" si="30"/>
        <v>2023</v>
      </c>
      <c r="D986" s="3">
        <f t="shared" si="31"/>
        <v>12</v>
      </c>
      <c r="E986" t="s">
        <v>390</v>
      </c>
      <c r="F986" t="s">
        <v>1023</v>
      </c>
      <c r="G986">
        <v>38</v>
      </c>
      <c r="H986" t="s">
        <v>2</v>
      </c>
      <c r="I986" s="3">
        <v>3</v>
      </c>
      <c r="J986" s="2">
        <v>300</v>
      </c>
      <c r="K986" s="2">
        <v>900</v>
      </c>
    </row>
    <row r="987" spans="1:11" x14ac:dyDescent="0.3">
      <c r="A987">
        <v>842</v>
      </c>
      <c r="B987" s="1">
        <v>45286</v>
      </c>
      <c r="C987" s="3">
        <f t="shared" si="30"/>
        <v>2023</v>
      </c>
      <c r="D987" s="3">
        <f t="shared" si="31"/>
        <v>12</v>
      </c>
      <c r="E987" t="s">
        <v>536</v>
      </c>
      <c r="F987" t="s">
        <v>1023</v>
      </c>
      <c r="G987">
        <v>47</v>
      </c>
      <c r="H987" t="s">
        <v>3</v>
      </c>
      <c r="I987" s="3">
        <v>2</v>
      </c>
      <c r="J987" s="2">
        <v>300</v>
      </c>
      <c r="K987" s="2">
        <v>600</v>
      </c>
    </row>
    <row r="988" spans="1:11" x14ac:dyDescent="0.3">
      <c r="A988">
        <v>879</v>
      </c>
      <c r="B988" s="1">
        <v>45286</v>
      </c>
      <c r="C988" s="3">
        <f t="shared" si="30"/>
        <v>2023</v>
      </c>
      <c r="D988" s="3">
        <f t="shared" si="31"/>
        <v>12</v>
      </c>
      <c r="E988" t="s">
        <v>846</v>
      </c>
      <c r="F988" t="s">
        <v>1022</v>
      </c>
      <c r="G988">
        <v>23</v>
      </c>
      <c r="H988" t="s">
        <v>3</v>
      </c>
      <c r="I988" s="3">
        <v>1</v>
      </c>
      <c r="J988" s="2">
        <v>30</v>
      </c>
      <c r="K988" s="2">
        <v>30</v>
      </c>
    </row>
    <row r="989" spans="1:11" x14ac:dyDescent="0.3">
      <c r="A989">
        <v>991</v>
      </c>
      <c r="B989" s="1">
        <v>45286</v>
      </c>
      <c r="C989" s="3">
        <f t="shared" si="30"/>
        <v>2023</v>
      </c>
      <c r="D989" s="3">
        <f t="shared" si="31"/>
        <v>12</v>
      </c>
      <c r="E989" t="s">
        <v>591</v>
      </c>
      <c r="F989" t="s">
        <v>1023</v>
      </c>
      <c r="G989">
        <v>34</v>
      </c>
      <c r="H989" t="s">
        <v>3</v>
      </c>
      <c r="I989" s="3">
        <v>2</v>
      </c>
      <c r="J989" s="2">
        <v>50</v>
      </c>
      <c r="K989" s="2">
        <v>100</v>
      </c>
    </row>
    <row r="990" spans="1:11" x14ac:dyDescent="0.3">
      <c r="A990">
        <v>62</v>
      </c>
      <c r="B990" s="1">
        <v>45287</v>
      </c>
      <c r="C990" s="3">
        <f t="shared" si="30"/>
        <v>2023</v>
      </c>
      <c r="D990" s="3">
        <f t="shared" si="31"/>
        <v>12</v>
      </c>
      <c r="E990" t="s">
        <v>762</v>
      </c>
      <c r="F990" t="s">
        <v>1022</v>
      </c>
      <c r="G990">
        <v>18</v>
      </c>
      <c r="H990" t="s">
        <v>2</v>
      </c>
      <c r="I990" s="3">
        <v>2</v>
      </c>
      <c r="J990" s="2">
        <v>50</v>
      </c>
      <c r="K990" s="2">
        <v>100</v>
      </c>
    </row>
    <row r="991" spans="1:11" x14ac:dyDescent="0.3">
      <c r="A991">
        <v>386</v>
      </c>
      <c r="B991" s="1">
        <v>45287</v>
      </c>
      <c r="C991" s="3">
        <f t="shared" si="30"/>
        <v>2023</v>
      </c>
      <c r="D991" s="3">
        <f t="shared" si="31"/>
        <v>12</v>
      </c>
      <c r="E991" t="s">
        <v>604</v>
      </c>
      <c r="F991" t="s">
        <v>1023</v>
      </c>
      <c r="G991">
        <v>54</v>
      </c>
      <c r="H991" t="s">
        <v>4</v>
      </c>
      <c r="I991" s="3">
        <v>2</v>
      </c>
      <c r="J991" s="2">
        <v>300</v>
      </c>
      <c r="K991" s="2">
        <v>600</v>
      </c>
    </row>
    <row r="992" spans="1:11" x14ac:dyDescent="0.3">
      <c r="A992">
        <v>429</v>
      </c>
      <c r="B992" s="1">
        <v>45288</v>
      </c>
      <c r="C992" s="3">
        <f t="shared" si="30"/>
        <v>2023</v>
      </c>
      <c r="D992" s="3">
        <f t="shared" si="31"/>
        <v>12</v>
      </c>
      <c r="E992" t="s">
        <v>667</v>
      </c>
      <c r="F992" t="s">
        <v>1022</v>
      </c>
      <c r="G992">
        <v>64</v>
      </c>
      <c r="H992" t="s">
        <v>4</v>
      </c>
      <c r="I992" s="3">
        <v>2</v>
      </c>
      <c r="J992" s="2">
        <v>25</v>
      </c>
      <c r="K992" s="2">
        <v>50</v>
      </c>
    </row>
    <row r="993" spans="1:11" x14ac:dyDescent="0.3">
      <c r="A993">
        <v>664</v>
      </c>
      <c r="B993" s="1">
        <v>45288</v>
      </c>
      <c r="C993" s="3">
        <f t="shared" si="30"/>
        <v>2023</v>
      </c>
      <c r="D993" s="3">
        <f t="shared" si="31"/>
        <v>12</v>
      </c>
      <c r="E993" t="s">
        <v>11</v>
      </c>
      <c r="F993" t="s">
        <v>1023</v>
      </c>
      <c r="G993">
        <v>44</v>
      </c>
      <c r="H993" t="s">
        <v>3</v>
      </c>
      <c r="I993" s="3">
        <v>4</v>
      </c>
      <c r="J993" s="2">
        <v>500</v>
      </c>
      <c r="K993" s="2">
        <v>2000</v>
      </c>
    </row>
    <row r="994" spans="1:11" x14ac:dyDescent="0.3">
      <c r="A994">
        <v>989</v>
      </c>
      <c r="B994" s="1">
        <v>45288</v>
      </c>
      <c r="C994" s="3">
        <f t="shared" si="30"/>
        <v>2023</v>
      </c>
      <c r="D994" s="3">
        <f t="shared" si="31"/>
        <v>12</v>
      </c>
      <c r="E994" t="s">
        <v>845</v>
      </c>
      <c r="F994" t="s">
        <v>1023</v>
      </c>
      <c r="G994">
        <v>44</v>
      </c>
      <c r="H994" t="s">
        <v>4</v>
      </c>
      <c r="I994" s="3">
        <v>1</v>
      </c>
      <c r="J994" s="2">
        <v>25</v>
      </c>
      <c r="K994" s="2">
        <v>25</v>
      </c>
    </row>
    <row r="995" spans="1:11" x14ac:dyDescent="0.3">
      <c r="A995">
        <v>233</v>
      </c>
      <c r="B995" s="1">
        <v>45289</v>
      </c>
      <c r="C995" s="3">
        <f t="shared" si="30"/>
        <v>2023</v>
      </c>
      <c r="D995" s="3">
        <f t="shared" si="31"/>
        <v>12</v>
      </c>
      <c r="E995" t="s">
        <v>746</v>
      </c>
      <c r="F995" t="s">
        <v>1023</v>
      </c>
      <c r="G995">
        <v>51</v>
      </c>
      <c r="H995" t="s">
        <v>2</v>
      </c>
      <c r="I995" s="3">
        <v>2</v>
      </c>
      <c r="J995" s="2">
        <v>300</v>
      </c>
      <c r="K995" s="2">
        <v>600</v>
      </c>
    </row>
    <row r="996" spans="1:11" x14ac:dyDescent="0.3">
      <c r="A996">
        <v>520</v>
      </c>
      <c r="B996" s="1">
        <v>45289</v>
      </c>
      <c r="C996" s="3">
        <f t="shared" si="30"/>
        <v>2023</v>
      </c>
      <c r="D996" s="3">
        <f t="shared" si="31"/>
        <v>12</v>
      </c>
      <c r="E996" t="s">
        <v>190</v>
      </c>
      <c r="F996" t="s">
        <v>1023</v>
      </c>
      <c r="G996">
        <v>49</v>
      </c>
      <c r="H996" t="s">
        <v>4</v>
      </c>
      <c r="I996" s="3">
        <v>4</v>
      </c>
      <c r="J996" s="2">
        <v>25</v>
      </c>
      <c r="K996" s="2">
        <v>100</v>
      </c>
    </row>
    <row r="997" spans="1:11" x14ac:dyDescent="0.3">
      <c r="A997">
        <v>805</v>
      </c>
      <c r="B997" s="1">
        <v>45289</v>
      </c>
      <c r="C997" s="3">
        <f t="shared" si="30"/>
        <v>2023</v>
      </c>
      <c r="D997" s="3">
        <f t="shared" si="31"/>
        <v>12</v>
      </c>
      <c r="E997" t="s">
        <v>320</v>
      </c>
      <c r="F997" t="s">
        <v>1023</v>
      </c>
      <c r="G997">
        <v>30</v>
      </c>
      <c r="H997" t="s">
        <v>2</v>
      </c>
      <c r="I997" s="3">
        <v>3</v>
      </c>
      <c r="J997" s="2">
        <v>500</v>
      </c>
      <c r="K997" s="2">
        <v>1500</v>
      </c>
    </row>
    <row r="998" spans="1:11" x14ac:dyDescent="0.3">
      <c r="A998">
        <v>908</v>
      </c>
      <c r="B998" s="1">
        <v>45289</v>
      </c>
      <c r="C998" s="3">
        <f t="shared" si="30"/>
        <v>2023</v>
      </c>
      <c r="D998" s="3">
        <f t="shared" si="31"/>
        <v>12</v>
      </c>
      <c r="E998" t="s">
        <v>83</v>
      </c>
      <c r="F998" t="s">
        <v>1022</v>
      </c>
      <c r="G998">
        <v>46</v>
      </c>
      <c r="H998" t="s">
        <v>2</v>
      </c>
      <c r="I998" s="3">
        <v>4</v>
      </c>
      <c r="J998" s="2">
        <v>300</v>
      </c>
      <c r="K998" s="2">
        <v>1200</v>
      </c>
    </row>
    <row r="999" spans="1:11" x14ac:dyDescent="0.3">
      <c r="A999">
        <v>857</v>
      </c>
      <c r="B999" s="1">
        <v>45291</v>
      </c>
      <c r="C999" s="3">
        <f t="shared" si="30"/>
        <v>2023</v>
      </c>
      <c r="D999" s="3">
        <f t="shared" si="31"/>
        <v>12</v>
      </c>
      <c r="E999" t="s">
        <v>548</v>
      </c>
      <c r="F999" t="s">
        <v>1022</v>
      </c>
      <c r="G999">
        <v>60</v>
      </c>
      <c r="H999" t="s">
        <v>4</v>
      </c>
      <c r="I999" s="3">
        <v>2</v>
      </c>
      <c r="J999" s="2">
        <v>25</v>
      </c>
      <c r="K999" s="2">
        <v>50</v>
      </c>
    </row>
    <row r="1000" spans="1:11" x14ac:dyDescent="0.3">
      <c r="A1000">
        <v>211</v>
      </c>
      <c r="B1000" s="1">
        <v>45292</v>
      </c>
      <c r="C1000" s="3">
        <f t="shared" si="30"/>
        <v>2024</v>
      </c>
      <c r="D1000" s="3">
        <f t="shared" si="31"/>
        <v>1</v>
      </c>
      <c r="E1000" t="s">
        <v>522</v>
      </c>
      <c r="F1000" t="s">
        <v>1022</v>
      </c>
      <c r="G1000">
        <v>42</v>
      </c>
      <c r="H1000" t="s">
        <v>2</v>
      </c>
      <c r="I1000" s="3">
        <v>3</v>
      </c>
      <c r="J1000" s="2">
        <v>500</v>
      </c>
      <c r="K1000" s="2">
        <v>1500</v>
      </c>
    </row>
    <row r="1001" spans="1:11" x14ac:dyDescent="0.3">
      <c r="A1001">
        <v>650</v>
      </c>
      <c r="B1001" s="1">
        <v>45292</v>
      </c>
      <c r="C1001" s="3">
        <f t="shared" si="30"/>
        <v>2024</v>
      </c>
      <c r="D1001" s="3">
        <f t="shared" si="31"/>
        <v>1</v>
      </c>
      <c r="E1001" t="s">
        <v>914</v>
      </c>
      <c r="F1001" t="s">
        <v>1022</v>
      </c>
      <c r="G1001">
        <v>55</v>
      </c>
      <c r="H1001" t="s">
        <v>4</v>
      </c>
      <c r="I1001" s="3">
        <v>1</v>
      </c>
      <c r="J1001" s="2">
        <v>30</v>
      </c>
      <c r="K1001" s="2">
        <v>30</v>
      </c>
    </row>
    <row r="1002" spans="1:11" x14ac:dyDescent="0.3">
      <c r="A1002">
        <v>475</v>
      </c>
      <c r="B1002" s="1">
        <v>45329</v>
      </c>
      <c r="C1002" s="3">
        <f t="shared" si="30"/>
        <v>2024</v>
      </c>
      <c r="D1002" s="3">
        <f t="shared" si="31"/>
        <v>2</v>
      </c>
      <c r="E1002" t="s">
        <v>13</v>
      </c>
      <c r="F1002" t="s">
        <v>1022</v>
      </c>
      <c r="G1002">
        <v>78</v>
      </c>
      <c r="H1002" t="s">
        <v>4</v>
      </c>
      <c r="I1002" s="3">
        <v>7</v>
      </c>
      <c r="J1002" s="2">
        <v>65</v>
      </c>
      <c r="K1002" s="2">
        <v>699</v>
      </c>
    </row>
    <row r="1003" spans="1:11" x14ac:dyDescent="0.3">
      <c r="A1003">
        <v>475</v>
      </c>
      <c r="B1003" s="1">
        <v>45330</v>
      </c>
      <c r="C1003" s="3">
        <f t="shared" si="30"/>
        <v>2024</v>
      </c>
      <c r="D1003" s="3">
        <f t="shared" si="31"/>
        <v>2</v>
      </c>
      <c r="E1003" t="s">
        <v>23</v>
      </c>
      <c r="F1003" t="s">
        <v>1022</v>
      </c>
      <c r="G1003">
        <v>65</v>
      </c>
      <c r="H1003" t="s">
        <v>2</v>
      </c>
      <c r="I1003" s="3">
        <v>5</v>
      </c>
      <c r="J1003" s="2">
        <v>645</v>
      </c>
      <c r="K1003" s="2">
        <v>899</v>
      </c>
    </row>
    <row r="1004" spans="1:11" x14ac:dyDescent="0.3">
      <c r="A1004">
        <v>69</v>
      </c>
      <c r="B1004" s="1">
        <v>45353</v>
      </c>
      <c r="C1004" s="3">
        <f t="shared" si="30"/>
        <v>2024</v>
      </c>
      <c r="D1004" s="3">
        <f t="shared" si="31"/>
        <v>3</v>
      </c>
      <c r="E1004" t="s">
        <v>12</v>
      </c>
      <c r="F1004" t="s">
        <v>1022</v>
      </c>
      <c r="G1004">
        <v>55</v>
      </c>
      <c r="H1004" t="s">
        <v>2</v>
      </c>
      <c r="I1004" s="3">
        <v>7</v>
      </c>
      <c r="J1004" s="2">
        <v>700</v>
      </c>
      <c r="K1004" s="2">
        <v>1440</v>
      </c>
    </row>
    <row r="1005" spans="1:11" x14ac:dyDescent="0.3">
      <c r="A1005">
        <v>475</v>
      </c>
      <c r="B1005" s="1">
        <v>45396</v>
      </c>
      <c r="C1005" s="3">
        <f t="shared" si="30"/>
        <v>2024</v>
      </c>
      <c r="D1005" s="3">
        <f t="shared" si="31"/>
        <v>4</v>
      </c>
      <c r="E1005" t="s">
        <v>20</v>
      </c>
      <c r="F1005" t="s">
        <v>1022</v>
      </c>
      <c r="G1005">
        <v>22</v>
      </c>
      <c r="H1005" t="s">
        <v>2</v>
      </c>
      <c r="I1005" s="3">
        <v>4</v>
      </c>
      <c r="J1005" s="2">
        <v>599</v>
      </c>
      <c r="K1005" s="2">
        <v>199</v>
      </c>
    </row>
    <row r="1006" spans="1:11" x14ac:dyDescent="0.3">
      <c r="A1006">
        <v>475</v>
      </c>
      <c r="B1006" s="1">
        <v>45397</v>
      </c>
      <c r="C1006" s="3">
        <f t="shared" si="30"/>
        <v>2024</v>
      </c>
      <c r="D1006" s="3">
        <f t="shared" si="31"/>
        <v>4</v>
      </c>
      <c r="E1006" t="s">
        <v>11</v>
      </c>
      <c r="F1006" t="s">
        <v>1022</v>
      </c>
      <c r="G1006">
        <v>62</v>
      </c>
      <c r="H1006" t="s">
        <v>4</v>
      </c>
      <c r="I1006" s="3">
        <v>8</v>
      </c>
      <c r="J1006" s="2">
        <v>65</v>
      </c>
      <c r="K1006" s="2">
        <v>899</v>
      </c>
    </row>
    <row r="1007" spans="1:11" x14ac:dyDescent="0.3">
      <c r="A1007">
        <v>475</v>
      </c>
      <c r="B1007" s="1">
        <v>45418</v>
      </c>
      <c r="C1007" s="3">
        <f t="shared" si="30"/>
        <v>2024</v>
      </c>
      <c r="D1007" s="3">
        <f t="shared" si="31"/>
        <v>5</v>
      </c>
      <c r="E1007" t="s">
        <v>17</v>
      </c>
      <c r="F1007" t="s">
        <v>1022</v>
      </c>
      <c r="G1007">
        <v>85</v>
      </c>
      <c r="H1007" t="s">
        <v>2</v>
      </c>
      <c r="I1007" s="3">
        <v>8</v>
      </c>
      <c r="J1007" s="2">
        <v>250</v>
      </c>
      <c r="K1007" s="2">
        <v>1499</v>
      </c>
    </row>
    <row r="1008" spans="1:11" x14ac:dyDescent="0.3">
      <c r="A1008">
        <v>51</v>
      </c>
      <c r="B1008" s="1">
        <v>45446</v>
      </c>
      <c r="C1008" s="3">
        <f t="shared" si="30"/>
        <v>2024</v>
      </c>
      <c r="D1008" s="3">
        <f t="shared" si="31"/>
        <v>6</v>
      </c>
      <c r="E1008" t="s">
        <v>19</v>
      </c>
      <c r="F1008" t="s">
        <v>1022</v>
      </c>
      <c r="G1008">
        <v>50</v>
      </c>
      <c r="H1008" t="s">
        <v>4</v>
      </c>
      <c r="I1008" s="3">
        <v>6</v>
      </c>
      <c r="J1008" s="2">
        <v>98</v>
      </c>
      <c r="K1008" s="2">
        <v>299</v>
      </c>
    </row>
    <row r="1009" spans="1:11" x14ac:dyDescent="0.3">
      <c r="A1009">
        <v>475</v>
      </c>
      <c r="B1009" s="1">
        <v>45454</v>
      </c>
      <c r="C1009" s="3">
        <f t="shared" si="30"/>
        <v>2024</v>
      </c>
      <c r="D1009" s="3">
        <f t="shared" si="31"/>
        <v>6</v>
      </c>
      <c r="E1009" t="s">
        <v>14</v>
      </c>
      <c r="F1009" t="s">
        <v>1022</v>
      </c>
      <c r="G1009">
        <v>34</v>
      </c>
      <c r="H1009" t="s">
        <v>4</v>
      </c>
      <c r="I1009" s="3">
        <v>8</v>
      </c>
      <c r="J1009" s="2">
        <v>50</v>
      </c>
      <c r="K1009" s="2">
        <v>599</v>
      </c>
    </row>
    <row r="1010" spans="1:11" x14ac:dyDescent="0.3">
      <c r="A1010">
        <v>987</v>
      </c>
      <c r="B1010" s="1">
        <v>45508</v>
      </c>
      <c r="C1010" s="3">
        <f t="shared" si="30"/>
        <v>2024</v>
      </c>
      <c r="D1010" s="3">
        <f t="shared" si="31"/>
        <v>8</v>
      </c>
      <c r="E1010" t="s">
        <v>18</v>
      </c>
      <c r="F1010" t="s">
        <v>1022</v>
      </c>
      <c r="G1010">
        <v>45</v>
      </c>
      <c r="H1010" t="s">
        <v>2</v>
      </c>
      <c r="I1010" s="3">
        <v>5</v>
      </c>
      <c r="J1010" s="2">
        <v>600</v>
      </c>
      <c r="K1010" s="2">
        <v>700</v>
      </c>
    </row>
    <row r="1011" spans="1:11" x14ac:dyDescent="0.3">
      <c r="A1011">
        <v>475</v>
      </c>
      <c r="B1011" s="1">
        <v>45513</v>
      </c>
      <c r="C1011" s="3">
        <f t="shared" si="30"/>
        <v>2024</v>
      </c>
      <c r="D1011" s="3">
        <f t="shared" si="31"/>
        <v>8</v>
      </c>
      <c r="E1011" t="s">
        <v>21</v>
      </c>
      <c r="F1011" t="s">
        <v>1022</v>
      </c>
      <c r="G1011">
        <v>54</v>
      </c>
      <c r="H1011" t="s">
        <v>4</v>
      </c>
      <c r="I1011" s="3">
        <v>6</v>
      </c>
      <c r="J1011" s="2">
        <v>78</v>
      </c>
      <c r="K1011" s="2">
        <v>799</v>
      </c>
    </row>
    <row r="1012" spans="1:11" x14ac:dyDescent="0.3">
      <c r="A1012">
        <v>475</v>
      </c>
      <c r="B1012" s="1">
        <v>45514</v>
      </c>
      <c r="C1012" s="3">
        <f t="shared" si="30"/>
        <v>2024</v>
      </c>
      <c r="D1012" s="3">
        <f t="shared" si="31"/>
        <v>8</v>
      </c>
      <c r="E1012" t="s">
        <v>187</v>
      </c>
      <c r="F1012" t="s">
        <v>1022</v>
      </c>
      <c r="G1012">
        <v>75</v>
      </c>
      <c r="H1012" t="s">
        <v>2</v>
      </c>
      <c r="I1012" s="3">
        <v>3</v>
      </c>
      <c r="J1012" s="2">
        <v>69</v>
      </c>
      <c r="K1012" s="2">
        <v>699</v>
      </c>
    </row>
    <row r="1013" spans="1:11" x14ac:dyDescent="0.3">
      <c r="A1013">
        <v>475</v>
      </c>
      <c r="B1013" s="1">
        <v>45551</v>
      </c>
      <c r="C1013" s="3">
        <f t="shared" si="30"/>
        <v>2024</v>
      </c>
      <c r="D1013" s="3">
        <f t="shared" si="31"/>
        <v>9</v>
      </c>
      <c r="E1013" t="s">
        <v>383</v>
      </c>
      <c r="F1013" t="s">
        <v>1022</v>
      </c>
      <c r="G1013">
        <v>27</v>
      </c>
      <c r="H1013" t="s">
        <v>2</v>
      </c>
      <c r="I1013" s="3">
        <v>2</v>
      </c>
      <c r="J1013" s="2">
        <v>89</v>
      </c>
      <c r="K1013" s="2">
        <v>1000</v>
      </c>
    </row>
    <row r="1014" spans="1:11" x14ac:dyDescent="0.3">
      <c r="A1014">
        <v>475</v>
      </c>
      <c r="B1014" s="1">
        <v>45570</v>
      </c>
      <c r="C1014" s="3">
        <f t="shared" si="30"/>
        <v>2024</v>
      </c>
      <c r="D1014" s="3">
        <f t="shared" si="31"/>
        <v>10</v>
      </c>
      <c r="E1014" t="s">
        <v>22</v>
      </c>
      <c r="F1014" t="s">
        <v>1022</v>
      </c>
      <c r="G1014">
        <v>95</v>
      </c>
      <c r="H1014" t="s">
        <v>4</v>
      </c>
      <c r="I1014" s="3">
        <v>4</v>
      </c>
      <c r="J1014" s="2">
        <v>350</v>
      </c>
      <c r="K1014" s="2">
        <v>769</v>
      </c>
    </row>
    <row r="1015" spans="1:11" x14ac:dyDescent="0.3">
      <c r="A1015">
        <v>475</v>
      </c>
      <c r="B1015" s="1">
        <v>45608</v>
      </c>
      <c r="C1015" s="3">
        <f t="shared" si="30"/>
        <v>2024</v>
      </c>
      <c r="D1015" s="3">
        <f t="shared" si="31"/>
        <v>11</v>
      </c>
      <c r="E1015" t="s">
        <v>16</v>
      </c>
      <c r="F1015" t="s">
        <v>1022</v>
      </c>
      <c r="G1015">
        <v>23</v>
      </c>
      <c r="H1015" t="s">
        <v>2</v>
      </c>
      <c r="I1015" s="3">
        <v>5</v>
      </c>
      <c r="J1015" s="2">
        <v>30</v>
      </c>
      <c r="K1015" s="2">
        <v>499</v>
      </c>
    </row>
    <row r="1016" spans="1:11" x14ac:dyDescent="0.3">
      <c r="A1016">
        <v>475</v>
      </c>
      <c r="B1016" s="1">
        <v>45639</v>
      </c>
      <c r="C1016" s="3">
        <f t="shared" si="30"/>
        <v>2024</v>
      </c>
      <c r="D1016" s="3">
        <f t="shared" si="31"/>
        <v>12</v>
      </c>
      <c r="E1016" t="s">
        <v>15</v>
      </c>
      <c r="F1016" t="s">
        <v>1022</v>
      </c>
      <c r="G1016">
        <v>20</v>
      </c>
      <c r="H1016" t="s">
        <v>4</v>
      </c>
      <c r="I1016" s="3">
        <v>8</v>
      </c>
      <c r="J1016" s="2">
        <v>200</v>
      </c>
      <c r="K1016" s="2">
        <v>399</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sales by categories</vt:lpstr>
      <vt:lpstr>profit gained</vt:lpstr>
      <vt:lpstr>DashBoard</vt:lpstr>
      <vt:lpstr>monthly sales</vt:lpstr>
      <vt:lpstr>top customers</vt:lpstr>
      <vt:lpstr>retail_sales_dataset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Beauty Kumari</cp:lastModifiedBy>
  <cp:revision/>
  <dcterms:created xsi:type="dcterms:W3CDTF">2025-11-21T14:59:51Z</dcterms:created>
  <dcterms:modified xsi:type="dcterms:W3CDTF">2026-03-07T10:19:40Z</dcterms:modified>
  <cp:category/>
  <cp:contentStatus/>
</cp:coreProperties>
</file>